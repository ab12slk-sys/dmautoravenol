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3250" windowHeight="12450" activeTab="1"/>
  </bookViews>
  <sheets>
    <sheet name="RETAIL" sheetId="1" r:id="rId1"/>
    <sheet name="EN-GROSS" sheetId="2" r:id="rId2"/>
  </sheets>
  <externalReferences>
    <externalReference r:id="rId3"/>
  </externalReferences>
  <definedNames>
    <definedName name="_xlnm._FilterDatabase" localSheetId="0" hidden="1">RETAIL!$A$5</definedName>
    <definedName name="DvListSource1">[1]Sheet2!$C$1:$C$38</definedName>
    <definedName name="DvListSource2">[1]Sheet2!$G$1:$G$8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1" i="2"/>
  <c r="D50"/>
  <c r="D34"/>
  <c r="D49"/>
  <c r="D48"/>
  <c r="D47"/>
  <c r="D46"/>
  <c r="D45"/>
  <c r="D44"/>
  <c r="D43"/>
  <c r="D42"/>
  <c r="D41"/>
  <c r="D40"/>
  <c r="D39"/>
  <c r="D38"/>
  <c r="D37"/>
  <c r="D36"/>
  <c r="D35"/>
  <c r="D33"/>
  <c r="D32"/>
  <c r="D31"/>
  <c r="D30"/>
  <c r="D29"/>
  <c r="D28"/>
  <c r="D27"/>
  <c r="D26"/>
  <c r="D25"/>
  <c r="D24"/>
  <c r="D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"/>
  <c r="D20" i="1"/>
  <c r="D19"/>
  <c r="D18"/>
  <c r="D17"/>
  <c r="D16"/>
  <c r="D15"/>
  <c r="D14"/>
  <c r="D13"/>
  <c r="D12"/>
  <c r="D11"/>
  <c r="D10"/>
  <c r="D9"/>
  <c r="D8"/>
  <c r="D7"/>
  <c r="D6"/>
</calcChain>
</file>

<file path=xl/sharedStrings.xml><?xml version="1.0" encoding="utf-8"?>
<sst xmlns="http://schemas.openxmlformats.org/spreadsheetml/2006/main" count="133" uniqueCount="94">
  <si>
    <t>BUC</t>
  </si>
  <si>
    <t>RON</t>
  </si>
  <si>
    <t>Denumire</t>
  </si>
  <si>
    <t>Pret fara TVA</t>
  </si>
  <si>
    <t>Valuta</t>
  </si>
  <si>
    <t xml:space="preserve">UM </t>
  </si>
  <si>
    <t>Pret cu TVA</t>
  </si>
  <si>
    <t>DOMENIILE MOCEAN SRL</t>
  </si>
  <si>
    <t>RETAIL</t>
  </si>
  <si>
    <t xml:space="preserve">OFERTA REPSOL </t>
  </si>
  <si>
    <t>20.05.2025</t>
  </si>
  <si>
    <t xml:space="preserve">ELITE LONG LIFE 5W-30 1L </t>
  </si>
  <si>
    <t xml:space="preserve">ELITE LONG LIFE 5W-30 5L </t>
  </si>
  <si>
    <t>ELITE LONG LIFE 5W-30 4L</t>
  </si>
  <si>
    <t>ELITE 50501 5W-40 QR 5L</t>
  </si>
  <si>
    <t>ELITE 50501 5W-40 1L</t>
  </si>
  <si>
    <t>AUTOMATOR ATF II 1L</t>
  </si>
  <si>
    <t>AUTOMATOR CVT 1L</t>
  </si>
  <si>
    <t>NAVIGATOR GL-5 80W-90 1L</t>
  </si>
  <si>
    <t>EUROL WHITE GREASE PTFE 400 ML</t>
  </si>
  <si>
    <t>EUROL SILICONE MULTI SPRAY 400 ML</t>
  </si>
  <si>
    <t>EUROL ENGINE FLUSH - 500 ML</t>
  </si>
  <si>
    <t>LAVETA CHAMOIS CLEAN &amp; DRY 66*743 CM</t>
  </si>
  <si>
    <t>ELITE MULTITECH 10W-40 5L</t>
  </si>
  <si>
    <t>ELITE MULTIVALULAS 10W-40 1L</t>
  </si>
  <si>
    <t>GUARD COOLANT OAT RED CONCENTRATED 1L</t>
  </si>
  <si>
    <t>DENUMIRE PRODUS</t>
  </si>
  <si>
    <t>CANTITATE</t>
  </si>
  <si>
    <t>RAV VMO 5W40 208L</t>
  </si>
  <si>
    <t>RAV TS 46 HLP 208L</t>
  </si>
  <si>
    <t>RAV LOW EMISSION TRUCK 208L</t>
  </si>
  <si>
    <t>RAV PERFORMANCE TRUCK 10W40 208L</t>
  </si>
  <si>
    <t>RAV TURBO PLUS SHPD 15W40 208L</t>
  </si>
  <si>
    <t>RAV OTC 208L</t>
  </si>
  <si>
    <t>RAV HLS 5W30 208L</t>
  </si>
  <si>
    <t>RAV VMO 5W40 60L</t>
  </si>
  <si>
    <t>RAV HCS 5W40 60L</t>
  </si>
  <si>
    <t>RAV CVT FLUID 60L</t>
  </si>
  <si>
    <t>RAV DCT-HV FLUID 60L</t>
  </si>
  <si>
    <t>RAV OTC 60L</t>
  </si>
  <si>
    <t>RAV SMP 5W30 20L BIB</t>
  </si>
  <si>
    <t>RAV VMO 5W40 20L BIB</t>
  </si>
  <si>
    <t>RAV HLS 5W30 208L CUSTODIE</t>
  </si>
  <si>
    <t>RAV VMO 5W40 208L CUSTODIE</t>
  </si>
  <si>
    <t>RAV TURBO PLUS SHPD 15W40 208L CUST</t>
  </si>
  <si>
    <t xml:space="preserve">RAV SMP 5W30 60L </t>
  </si>
  <si>
    <t>RAV ATF DEXRON III H 20L</t>
  </si>
  <si>
    <t>FARA STOC ORADEA</t>
  </si>
  <si>
    <t>RAV VMP 5W30 208L</t>
  </si>
  <si>
    <t>RAV SMP 5W30 208L</t>
  </si>
  <si>
    <t>RAV SSF FLUID 20L BIB</t>
  </si>
  <si>
    <t>RAV DCT HV FLUID 20L</t>
  </si>
  <si>
    <t>RAV ATF 8HP FLUID 20L BIB</t>
  </si>
  <si>
    <t>RAV ATF 6HP FLUID 20L BIB</t>
  </si>
  <si>
    <t xml:space="preserve">RV OTC 20L </t>
  </si>
  <si>
    <t>RAV CATOEL TO-4  10W 208L</t>
  </si>
  <si>
    <t>RAV Hyd TS 46 (HLP) 20 L</t>
  </si>
  <si>
    <t>RAV Hyd TS 32 (HLP)  20 L</t>
  </si>
  <si>
    <t>RAV Low Emi. Truck SAE 10W-30 20L</t>
  </si>
  <si>
    <t>RAV Low Emi. Truck SAE 10W-40 20L</t>
  </si>
  <si>
    <t>RAV Turbo SHPD SAE 15W-40  20 L</t>
  </si>
  <si>
    <t>RAV EPX SAE 80W-90 GL 5  20 L</t>
  </si>
  <si>
    <t>RAV EPX SAE 85W-90 GL 5 20L</t>
  </si>
  <si>
    <t>RAV EPX SAE 85W-140 GL 5 20L</t>
  </si>
  <si>
    <t>RAV ATF Dexron D II  20 L</t>
  </si>
  <si>
    <t>RAV VSG SAE 75W-90  20 L</t>
  </si>
  <si>
    <t>RAV SSG 75W-80  20 L</t>
  </si>
  <si>
    <t>RAV STOU SAE 15W-40 20L</t>
  </si>
  <si>
    <t>RAV STOU SAE 10W-30 20L</t>
  </si>
  <si>
    <t>RAV STOU SAE 10W-40 20L</t>
  </si>
  <si>
    <t>RAV PERFORMANCE TRUCK 10W-40 20L</t>
  </si>
  <si>
    <t>RAV CLP 220 GETRIEBECEL 20L</t>
  </si>
  <si>
    <t>RAV CATOEL TO-4 10W 20L</t>
  </si>
  <si>
    <t>RAV CATOEL TO-4 30W 20L</t>
  </si>
  <si>
    <t>RAV FORMEL SUPER 20W-50 20L</t>
  </si>
  <si>
    <t>RAV TSX 46  20L</t>
  </si>
  <si>
    <t>RAV UTTO SAE 80W 20L</t>
  </si>
  <si>
    <t>RAV ULTRA SYNTETIK 5W-30 20L</t>
  </si>
  <si>
    <t>VAL HLP 46 208L</t>
  </si>
  <si>
    <t>ADAOS 30%</t>
  </si>
  <si>
    <t>VAL HLP 46 20L</t>
  </si>
  <si>
    <t>ADAOS 25%</t>
  </si>
  <si>
    <t>VAL ALL FLEET 15W40 20L</t>
  </si>
  <si>
    <t>REP AUTOMATOR ATF III 20L</t>
  </si>
  <si>
    <t>CYC GEAR EP/GL-4 80W90 20L</t>
  </si>
  <si>
    <t>CYC GEAR EP/GL-5 80W90 20L</t>
  </si>
  <si>
    <t>CYC ATF TYPE D 20L</t>
  </si>
  <si>
    <t>CYC HIDROPREMIUM 46 20L</t>
  </si>
  <si>
    <t>CYC GRANIT MAXIMUM 15W40 20L</t>
  </si>
  <si>
    <t>CYC MAGMA X-100 5W40 208L</t>
  </si>
  <si>
    <t xml:space="preserve">CYC HIDROPREMIUM 46 208L </t>
  </si>
  <si>
    <t>PRET VANZARE ALBA 15%</t>
  </si>
  <si>
    <t>PRET VANZARE ORADEA+15%</t>
  </si>
  <si>
    <t>PRET ACHIZITIE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</si>
</sst>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vertical="center"/>
    </xf>
    <xf numFmtId="1" fontId="1" fillId="0" borderId="1" xfId="0" applyNumberFormat="1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4" fontId="1" fillId="0" borderId="2" xfId="0" applyNumberFormat="1" applyFont="1" applyBorder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1" fillId="0" borderId="2" xfId="0" applyFont="1" applyBorder="1" applyAlignment="1">
      <alignment vertical="center"/>
    </xf>
    <xf numFmtId="1" fontId="1" fillId="0" borderId="2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vertical="center"/>
    </xf>
    <xf numFmtId="4" fontId="1" fillId="0" borderId="3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4" fillId="0" borderId="0" xfId="0" applyFont="1"/>
    <xf numFmtId="4" fontId="1" fillId="0" borderId="6" xfId="0" applyNumberFormat="1" applyFont="1" applyBorder="1" applyAlignment="1">
      <alignment vertical="center"/>
    </xf>
    <xf numFmtId="0" fontId="5" fillId="0" borderId="0" xfId="0" applyFont="1"/>
    <xf numFmtId="4" fontId="1" fillId="0" borderId="4" xfId="0" applyNumberFormat="1" applyFont="1" applyBorder="1" applyAlignment="1">
      <alignment vertical="center"/>
    </xf>
    <xf numFmtId="4" fontId="1" fillId="0" borderId="5" xfId="0" applyNumberFormat="1" applyFont="1" applyBorder="1" applyAlignment="1">
      <alignment vertical="center"/>
    </xf>
    <xf numFmtId="0" fontId="6" fillId="0" borderId="0" xfId="0" applyFont="1"/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" fontId="1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Fill="1" applyBorder="1" applyAlignment="1">
      <alignment vertical="center"/>
    </xf>
    <xf numFmtId="0" fontId="0" fillId="0" borderId="3" xfId="0" applyFont="1" applyBorder="1" applyAlignment="1">
      <alignment horizontal="center"/>
    </xf>
    <xf numFmtId="2" fontId="0" fillId="0" borderId="3" xfId="0" applyNumberFormat="1" applyFont="1" applyBorder="1" applyAlignment="1">
      <alignment horizontal="center"/>
    </xf>
    <xf numFmtId="0" fontId="0" fillId="0" borderId="3" xfId="0" applyFont="1" applyBorder="1"/>
    <xf numFmtId="0" fontId="0" fillId="0" borderId="3" xfId="0" applyFont="1" applyFill="1" applyBorder="1"/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DM_06.05.2021_Preturi%20agenti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  <sheetName val="Sheet2"/>
    </sheetNames>
    <sheetDataSet>
      <sheetData sheetId="0" refreshError="1"/>
      <sheetData sheetId="1">
        <row r="1">
          <cell r="C1" t="str">
            <v>BUC</v>
          </cell>
          <cell r="G1" t="str">
            <v>RON</v>
          </cell>
        </row>
        <row r="2">
          <cell r="C2" t="str">
            <v>TOP</v>
          </cell>
          <cell r="G2" t="str">
            <v>USD</v>
          </cell>
        </row>
        <row r="3">
          <cell r="C3" t="str">
            <v>Bax</v>
          </cell>
          <cell r="G3" t="str">
            <v>EUR</v>
          </cell>
        </row>
        <row r="4">
          <cell r="C4" t="str">
            <v>CUTIE</v>
          </cell>
          <cell r="G4" t="str">
            <v>ROL</v>
          </cell>
        </row>
        <row r="5">
          <cell r="C5" t="str">
            <v>KG</v>
          </cell>
          <cell r="G5" t="str">
            <v>SEK</v>
          </cell>
        </row>
        <row r="6">
          <cell r="C6" t="str">
            <v>LITRU</v>
          </cell>
          <cell r="G6" t="str">
            <v>CHF</v>
          </cell>
        </row>
        <row r="7">
          <cell r="C7" t="str">
            <v>BIDON</v>
          </cell>
          <cell r="G7" t="str">
            <v>GBP</v>
          </cell>
        </row>
        <row r="8">
          <cell r="C8" t="str">
            <v>CANISTRA</v>
          </cell>
          <cell r="G8" t="str">
            <v>PMK</v>
          </cell>
        </row>
        <row r="9">
          <cell r="C9" t="str">
            <v>CARNET</v>
          </cell>
        </row>
        <row r="10">
          <cell r="C10" t="str">
            <v>FLACON</v>
          </cell>
        </row>
        <row r="11">
          <cell r="C11" t="str">
            <v>FOLIE</v>
          </cell>
        </row>
        <row r="12">
          <cell r="C12" t="str">
            <v>PG</v>
          </cell>
        </row>
        <row r="13">
          <cell r="C13" t="str">
            <v>PLIC</v>
          </cell>
        </row>
        <row r="14">
          <cell r="C14" t="str">
            <v>PUNGA</v>
          </cell>
        </row>
        <row r="15">
          <cell r="C15" t="str">
            <v>ROLA</v>
          </cell>
        </row>
        <row r="16">
          <cell r="C16" t="str">
            <v>SAC</v>
          </cell>
        </row>
        <row r="17">
          <cell r="C17" t="str">
            <v>SER</v>
          </cell>
        </row>
        <row r="18">
          <cell r="C18" t="str">
            <v>SET</v>
          </cell>
        </row>
        <row r="19">
          <cell r="C19" t="str">
            <v>-</v>
          </cell>
        </row>
        <row r="20">
          <cell r="C20" t="str">
            <v>BLISTER</v>
          </cell>
        </row>
        <row r="21">
          <cell r="C21" t="str">
            <v>BORCAN</v>
          </cell>
        </row>
        <row r="22">
          <cell r="C22" t="str">
            <v>DOZA</v>
          </cell>
        </row>
        <row r="23">
          <cell r="C23" t="str">
            <v>FIOLA</v>
          </cell>
        </row>
        <row r="24">
          <cell r="C24" t="str">
            <v>GR</v>
          </cell>
        </row>
        <row r="25">
          <cell r="C25" t="str">
            <v>ML</v>
          </cell>
        </row>
        <row r="26">
          <cell r="C26" t="str">
            <v>PACHET</v>
          </cell>
        </row>
        <row r="27">
          <cell r="C27" t="str">
            <v>PERECHE</v>
          </cell>
        </row>
        <row r="28">
          <cell r="C28" t="str">
            <v>PLIANT</v>
          </cell>
        </row>
        <row r="29">
          <cell r="C29" t="str">
            <v>SUL</v>
          </cell>
        </row>
        <row r="30">
          <cell r="C30" t="str">
            <v>TRUSA</v>
          </cell>
        </row>
        <row r="31">
          <cell r="C31" t="str">
            <v>TUB</v>
          </cell>
        </row>
        <row r="32">
          <cell r="C32" t="str">
            <v>CARTUS</v>
          </cell>
        </row>
        <row r="33">
          <cell r="C33" t="str">
            <v>KIT</v>
          </cell>
        </row>
        <row r="34">
          <cell r="C34" t="str">
            <v>mg</v>
          </cell>
        </row>
        <row r="35">
          <cell r="C35" t="str">
            <v>MP</v>
          </cell>
        </row>
        <row r="36">
          <cell r="C36" t="str">
            <v>MC</v>
          </cell>
        </row>
        <row r="37">
          <cell r="C37" t="str">
            <v>to</v>
          </cell>
        </row>
        <row r="38">
          <cell r="C38" t="str">
            <v>Ora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selection activeCell="H6" sqref="H6"/>
    </sheetView>
  </sheetViews>
  <sheetFormatPr defaultRowHeight="15"/>
  <cols>
    <col min="1" max="1" width="42.140625" customWidth="1"/>
    <col min="2" max="2" width="8.140625" customWidth="1"/>
    <col min="3" max="3" width="15.140625" customWidth="1"/>
    <col min="4" max="4" width="14.7109375" customWidth="1"/>
    <col min="7" max="7" width="26.28515625" customWidth="1"/>
    <col min="8" max="8" width="5.7109375" customWidth="1"/>
    <col min="9" max="9" width="12.85546875" customWidth="1"/>
  </cols>
  <sheetData>
    <row r="1" spans="1:12" s="20" customFormat="1" ht="23.25">
      <c r="A1" s="20" t="s">
        <v>7</v>
      </c>
      <c r="B1"/>
      <c r="C1"/>
      <c r="D1" s="23" t="s">
        <v>8</v>
      </c>
      <c r="E1" s="24"/>
      <c r="F1" s="25"/>
    </row>
    <row r="3" spans="1:12" s="23" customFormat="1" ht="21">
      <c r="A3" s="18" t="s">
        <v>9</v>
      </c>
      <c r="B3" s="18"/>
      <c r="C3" s="18"/>
      <c r="D3" s="18" t="s">
        <v>10</v>
      </c>
      <c r="E3" s="18"/>
      <c r="F3" s="18"/>
    </row>
    <row r="4" spans="1:12" s="16" customFormat="1" ht="18.75">
      <c r="A4" s="13" t="s">
        <v>2</v>
      </c>
      <c r="B4" s="13" t="s">
        <v>5</v>
      </c>
      <c r="C4" s="13" t="s">
        <v>3</v>
      </c>
      <c r="D4" s="14" t="s">
        <v>6</v>
      </c>
      <c r="E4" s="15" t="s">
        <v>4</v>
      </c>
      <c r="F4"/>
      <c r="G4" s="17"/>
      <c r="H4" s="17"/>
      <c r="I4" s="17"/>
      <c r="J4" s="17"/>
      <c r="K4" s="17"/>
    </row>
    <row r="5" spans="1:12">
      <c r="A5" s="8"/>
      <c r="B5" s="9"/>
      <c r="C5" s="4"/>
      <c r="D5" s="19"/>
      <c r="E5" s="11"/>
      <c r="G5" s="6"/>
      <c r="H5" s="7"/>
      <c r="I5" s="5"/>
      <c r="J5" s="5"/>
      <c r="K5" s="7"/>
      <c r="L5" s="7"/>
    </row>
    <row r="6" spans="1:12">
      <c r="A6" s="10" t="s">
        <v>11</v>
      </c>
      <c r="B6" s="11" t="s">
        <v>0</v>
      </c>
      <c r="C6" s="12">
        <v>39.495699999999999</v>
      </c>
      <c r="D6" s="12">
        <f t="shared" ref="D6:D20" si="0">C6*1.19</f>
        <v>46.999882999999997</v>
      </c>
      <c r="E6" s="11" t="s">
        <v>1</v>
      </c>
      <c r="G6" s="6"/>
      <c r="H6" s="7"/>
      <c r="I6" s="5"/>
      <c r="J6" s="5"/>
      <c r="K6" s="7"/>
      <c r="L6" s="7"/>
    </row>
    <row r="7" spans="1:12">
      <c r="A7" s="10" t="s">
        <v>13</v>
      </c>
      <c r="B7" s="11" t="s">
        <v>0</v>
      </c>
      <c r="C7" s="12">
        <v>148.73939999999999</v>
      </c>
      <c r="D7" s="12">
        <f t="shared" si="0"/>
        <v>176.99988599999998</v>
      </c>
      <c r="E7" s="11" t="s">
        <v>1</v>
      </c>
      <c r="G7" s="6"/>
      <c r="H7" s="7"/>
      <c r="I7" s="5"/>
      <c r="J7" s="5"/>
      <c r="K7" s="7"/>
      <c r="L7" s="7"/>
    </row>
    <row r="8" spans="1:12">
      <c r="A8" s="10" t="s">
        <v>12</v>
      </c>
      <c r="B8" s="11" t="s">
        <v>0</v>
      </c>
      <c r="C8" s="12">
        <v>183.19319999999999</v>
      </c>
      <c r="D8" s="12">
        <f t="shared" si="0"/>
        <v>217.99990799999998</v>
      </c>
      <c r="E8" s="11" t="s">
        <v>1</v>
      </c>
      <c r="H8" s="6"/>
      <c r="I8" s="7"/>
      <c r="J8" s="5"/>
      <c r="K8" s="5"/>
      <c r="L8" s="7"/>
    </row>
    <row r="9" spans="1:12">
      <c r="A9" s="10" t="s">
        <v>14</v>
      </c>
      <c r="B9" s="11" t="s">
        <v>0</v>
      </c>
      <c r="C9" s="12">
        <v>154.62180000000001</v>
      </c>
      <c r="D9" s="12">
        <f t="shared" si="0"/>
        <v>183.999942</v>
      </c>
      <c r="E9" s="11" t="s">
        <v>1</v>
      </c>
      <c r="H9" s="6"/>
      <c r="I9" s="7"/>
      <c r="J9" s="5"/>
      <c r="K9" s="5"/>
      <c r="L9" s="7"/>
    </row>
    <row r="10" spans="1:12">
      <c r="A10" s="10" t="s">
        <v>15</v>
      </c>
      <c r="B10" s="11" t="s">
        <v>0</v>
      </c>
      <c r="C10" s="12">
        <v>35.2941</v>
      </c>
      <c r="D10" s="12">
        <f t="shared" si="0"/>
        <v>41.999978999999996</v>
      </c>
      <c r="E10" s="11" t="s">
        <v>1</v>
      </c>
      <c r="H10" s="6"/>
      <c r="I10" s="7"/>
      <c r="J10" s="5"/>
      <c r="K10" s="5"/>
      <c r="L10" s="7"/>
    </row>
    <row r="11" spans="1:12">
      <c r="A11" s="10" t="s">
        <v>16</v>
      </c>
      <c r="B11" s="11" t="s">
        <v>0</v>
      </c>
      <c r="C11" s="12">
        <v>26.890699999999999</v>
      </c>
      <c r="D11" s="12">
        <f t="shared" si="0"/>
        <v>31.999932999999999</v>
      </c>
      <c r="E11" s="11" t="s">
        <v>1</v>
      </c>
      <c r="H11" s="6"/>
      <c r="I11" s="7"/>
      <c r="J11" s="5"/>
      <c r="K11" s="5"/>
      <c r="L11" s="7"/>
    </row>
    <row r="12" spans="1:12">
      <c r="A12" s="10" t="s">
        <v>17</v>
      </c>
      <c r="B12" s="11" t="s">
        <v>0</v>
      </c>
      <c r="C12" s="12">
        <v>41.176400000000001</v>
      </c>
      <c r="D12" s="12">
        <f t="shared" si="0"/>
        <v>48.999915999999999</v>
      </c>
      <c r="E12" s="11" t="s">
        <v>1</v>
      </c>
      <c r="H12" s="6"/>
      <c r="I12" s="7"/>
      <c r="J12" s="5"/>
      <c r="K12" s="5"/>
      <c r="L12" s="7"/>
    </row>
    <row r="13" spans="1:12">
      <c r="A13" s="10" t="s">
        <v>18</v>
      </c>
      <c r="B13" s="11" t="s">
        <v>0</v>
      </c>
      <c r="C13" s="12">
        <v>26.0504</v>
      </c>
      <c r="D13" s="12">
        <f t="shared" si="0"/>
        <v>30.999975999999997</v>
      </c>
      <c r="E13" s="11" t="s">
        <v>1</v>
      </c>
    </row>
    <row r="14" spans="1:12">
      <c r="A14" s="10" t="s">
        <v>19</v>
      </c>
      <c r="B14" s="11" t="s">
        <v>0</v>
      </c>
      <c r="C14" s="12">
        <v>27.731000000000002</v>
      </c>
      <c r="D14" s="12">
        <f t="shared" si="0"/>
        <v>32.999890000000001</v>
      </c>
      <c r="E14" s="11" t="s">
        <v>1</v>
      </c>
    </row>
    <row r="15" spans="1:12">
      <c r="A15" s="10" t="s">
        <v>20</v>
      </c>
      <c r="B15" s="11" t="s">
        <v>0</v>
      </c>
      <c r="C15" s="12">
        <v>30.252099999999999</v>
      </c>
      <c r="D15" s="12">
        <f t="shared" si="0"/>
        <v>35.999998999999995</v>
      </c>
      <c r="E15" s="11" t="s">
        <v>1</v>
      </c>
    </row>
    <row r="16" spans="1:12">
      <c r="A16" s="10" t="s">
        <v>21</v>
      </c>
      <c r="B16" s="11" t="s">
        <v>0</v>
      </c>
      <c r="C16" s="12">
        <v>30.252099999999999</v>
      </c>
      <c r="D16" s="12">
        <f t="shared" si="0"/>
        <v>35.999998999999995</v>
      </c>
      <c r="E16" s="11" t="s">
        <v>1</v>
      </c>
    </row>
    <row r="17" spans="1:12">
      <c r="A17" s="10" t="s">
        <v>23</v>
      </c>
      <c r="B17" s="11" t="s">
        <v>0</v>
      </c>
      <c r="C17" s="12">
        <v>127.73099999999999</v>
      </c>
      <c r="D17" s="12">
        <f t="shared" si="0"/>
        <v>151.99988999999999</v>
      </c>
      <c r="E17" s="11" t="s">
        <v>1</v>
      </c>
    </row>
    <row r="18" spans="1:12">
      <c r="A18" s="10" t="s">
        <v>24</v>
      </c>
      <c r="B18" s="11" t="s">
        <v>0</v>
      </c>
      <c r="C18" s="12">
        <v>29.4117</v>
      </c>
      <c r="D18" s="12">
        <f t="shared" si="0"/>
        <v>34.999922999999995</v>
      </c>
      <c r="E18" s="11" t="s">
        <v>1</v>
      </c>
    </row>
    <row r="19" spans="1:12">
      <c r="A19" s="10" t="s">
        <v>25</v>
      </c>
      <c r="B19" s="11" t="s">
        <v>0</v>
      </c>
      <c r="C19" s="12">
        <v>18.487300000000001</v>
      </c>
      <c r="D19" s="12">
        <f t="shared" si="0"/>
        <v>21.999887000000001</v>
      </c>
      <c r="E19" s="11" t="s">
        <v>1</v>
      </c>
      <c r="H19" s="6"/>
      <c r="I19" s="7"/>
      <c r="J19" s="5"/>
      <c r="K19" s="5"/>
      <c r="L19" s="7"/>
    </row>
    <row r="20" spans="1:12">
      <c r="A20" s="10" t="s">
        <v>22</v>
      </c>
      <c r="B20" s="11" t="s">
        <v>0</v>
      </c>
      <c r="C20" s="12">
        <v>36.974699999999999</v>
      </c>
      <c r="D20" s="12">
        <f t="shared" si="0"/>
        <v>43.999892999999993</v>
      </c>
      <c r="E20" s="11" t="s">
        <v>1</v>
      </c>
    </row>
    <row r="21" spans="1:12">
      <c r="A21" s="10"/>
      <c r="B21" s="11"/>
      <c r="C21" s="12"/>
      <c r="D21" s="12"/>
      <c r="E21" s="11"/>
    </row>
    <row r="22" spans="1:12">
      <c r="A22" s="10"/>
      <c r="B22" s="11"/>
      <c r="C22" s="12"/>
      <c r="D22" s="12"/>
      <c r="E22" s="11"/>
    </row>
    <row r="23" spans="1:12">
      <c r="A23" s="10"/>
      <c r="B23" s="11"/>
      <c r="C23" s="12"/>
      <c r="D23" s="12"/>
      <c r="E23" s="11"/>
    </row>
    <row r="24" spans="1:12">
      <c r="A24" s="10"/>
      <c r="B24" s="11"/>
      <c r="C24" s="12"/>
      <c r="D24" s="12"/>
      <c r="E24" s="11"/>
    </row>
    <row r="25" spans="1:12">
      <c r="A25" s="10"/>
      <c r="B25" s="11"/>
      <c r="C25" s="12"/>
      <c r="D25" s="12"/>
      <c r="E25" s="11"/>
    </row>
    <row r="26" spans="1:12">
      <c r="A26" s="10"/>
      <c r="B26" s="11"/>
      <c r="C26" s="12"/>
      <c r="D26" s="21"/>
      <c r="E26" s="11"/>
    </row>
    <row r="27" spans="1:12">
      <c r="A27" s="10"/>
      <c r="B27" s="11"/>
      <c r="C27" s="12"/>
      <c r="D27" s="21"/>
      <c r="E27" s="11"/>
    </row>
    <row r="28" spans="1:12">
      <c r="A28" s="10"/>
      <c r="B28" s="11"/>
      <c r="C28" s="12"/>
      <c r="D28" s="21"/>
      <c r="E28" s="11"/>
    </row>
    <row r="29" spans="1:12">
      <c r="A29" s="1"/>
      <c r="B29" s="2"/>
      <c r="C29" s="3"/>
      <c r="D29" s="22"/>
      <c r="E29" s="11"/>
    </row>
    <row r="30" spans="1:12">
      <c r="A30" s="1"/>
      <c r="B30" s="2"/>
      <c r="C30" s="3"/>
      <c r="D30" s="22"/>
      <c r="E30" s="11"/>
    </row>
    <row r="31" spans="1:12">
      <c r="A31" s="1"/>
      <c r="B31" s="2"/>
      <c r="C31" s="3"/>
      <c r="D31" s="22"/>
      <c r="E31" s="11"/>
    </row>
    <row r="32" spans="1:12">
      <c r="A32" s="1"/>
      <c r="B32" s="2"/>
      <c r="C32" s="3"/>
      <c r="D32" s="22"/>
      <c r="E32" s="11"/>
    </row>
    <row r="33" spans="1:5">
      <c r="A33" s="1"/>
      <c r="B33" s="2"/>
      <c r="C33" s="3"/>
      <c r="D33" s="22"/>
      <c r="E33" s="11"/>
    </row>
    <row r="34" spans="1:5">
      <c r="A34" s="1"/>
      <c r="B34" s="2"/>
      <c r="C34" s="3"/>
      <c r="D34" s="22"/>
      <c r="E34" s="11"/>
    </row>
  </sheetData>
  <autoFilter ref="A5"/>
  <dataValidations count="2">
    <dataValidation type="list" allowBlank="1" showInputMessage="1" showErrorMessage="1" sqref="IZ4:IZ5 ACR4:ACR5 AMN4:AMN5 AWJ4:AWJ5 BGF4:BGF5 BQB4:BQB5 BZX4:BZX5 CJT4:CJT5 CTP4:CTP5 DDL4:DDL5 DNH4:DNH5 DXD4:DXD5 EGZ4:EGZ5 EQV4:EQV5 FAR4:FAR5 FKN4:FKN5 FUJ4:FUJ5 GEF4:GEF5 GOB4:GOB5 GXX4:GXX5 HHT4:HHT5 HRP4:HRP5 IBL4:IBL5 ILH4:ILH5 IVD4:IVD5 JEZ4:JEZ5 JOV4:JOV5 JYR4:JYR5 KIN4:KIN5 KSJ4:KSJ5 LCF4:LCF5 LMB4:LMB5 LVX4:LVX5 MFT4:MFT5 MPP4:MPP5 MZL4:MZL5 NJH4:NJH5 NTD4:NTD5 OCZ4:OCZ5 OMV4:OMV5 OWR4:OWR5 PGN4:PGN5 PQJ4:PQJ5 QAF4:QAF5 QKB4:QKB5 QTX4:QTX5 RDT4:RDT5 RNP4:RNP5 RXL4:RXL5 SHH4:SHH5 SRD4:SRD5 TAZ4:TAZ5 TKV4:TKV5 TUR4:TUR5 UEN4:UEN5 UOJ4:UOJ5 UYF4:UYF5 VIB4:VIB5 VRX4:VRX5 WBT4:WBT5 WLP4:WLP5 WVL4:WVL5 WVL8:WVL9 WLP8:WLP9 WBT8:WBT9 VRX8:VRX9 VIB8:VIB9 UYF8:UYF9 UOJ8:UOJ9 UEN8:UEN9 TUR8:TUR9 TKV8:TKV9 TAZ8:TAZ9 SRD8:SRD9 SHH8:SHH9 RXL8:RXL9 RNP8:RNP9 RDT8:RDT9 QTX8:QTX9 QKB8:QKB9 QAF8:QAF9 PQJ8:PQJ9 PGN8:PGN9 OWR8:OWR9 OMV8:OMV9 OCZ8:OCZ9 NTD8:NTD9 NJH8:NJH9 MZL8:MZL9 MPP8:MPP9 MFT8:MFT9 LVX8:LVX9 LMB8:LMB9 LCF8:LCF9 KSJ8:KSJ9 KIN8:KIN9 JYR8:JYR9 JOV8:JOV9 JEZ8:JEZ9 IVD8:IVD9 ILH8:ILH9 IBL8:IBL9 HRP8:HRP9 HHT8:HHT9 GXX8:GXX9 GOB8:GOB9 GEF8:GEF9 FUJ8:FUJ9 FKN8:FKN9 FAR8:FAR9 EQV8:EQV9 EGZ8:EGZ9 DXD8:DXD9 DNH8:DNH9 DDL8:DDL9 CTP8:CTP9 CJT8:CJT9 BZX8:BZX9 BQB8:BQB9 BGF8:BGF9 AWJ8:AWJ9 AMN8:AMN9 ACR8:ACR9 SV8:SV9 IZ8:IZ9 SV4:SV5 L19 K5:K7 L5:L12 E5:E34">
      <formula1>DvListSource2</formula1>
    </dataValidation>
    <dataValidation type="list" allowBlank="1" showInputMessage="1" showErrorMessage="1" sqref="ACN4:ACN5 AMJ4:AMJ5 AWF4:AWF5 BGB4:BGB5 BPX4:BPX5 BZT4:BZT5 CJP4:CJP5 CTL4:CTL5 DDH4:DDH5 DND4:DND5 DWZ4:DWZ5 EGV4:EGV5 EQR4:EQR5 FAN4:FAN5 FKJ4:FKJ5 FUF4:FUF5 GEB4:GEB5 GNX4:GNX5 GXT4:GXT5 HHP4:HHP5 HRL4:HRL5 IBH4:IBH5 ILD4:ILD5 IUZ4:IUZ5 JEV4:JEV5 JOR4:JOR5 JYN4:JYN5 KIJ4:KIJ5 KSF4:KSF5 LCB4:LCB5 LLX4:LLX5 LVT4:LVT5 MFP4:MFP5 MPL4:MPL5 MZH4:MZH5 NJD4:NJD5 NSZ4:NSZ5 OCV4:OCV5 OMR4:OMR5 OWN4:OWN5 PGJ4:PGJ5 PQF4:PQF5 QAB4:QAB5 QJX4:QJX5 QTT4:QTT5 RDP4:RDP5 RNL4:RNL5 RXH4:RXH5 SHD4:SHD5 SQZ4:SQZ5 TAV4:TAV5 TKR4:TKR5 TUN4:TUN5 UEJ4:UEJ5 UOF4:UOF5 UYB4:UYB5 VHX4:VHX5 VRT4:VRT5 WBP4:WBP5 WLL4:WLL5 WVH4:WVH5 IV4:IV5 WVH8:WVH9 WLL8:WLL9 WBP8:WBP9 VRT8:VRT9 VHX8:VHX9 UYB8:UYB9 UOF8:UOF9 UEJ8:UEJ9 TUN8:TUN9 TKR8:TKR9 TAV8:TAV9 SQZ8:SQZ9 SHD8:SHD9 RXH8:RXH9 RNL8:RNL9 RDP8:RDP9 QTT8:QTT9 QJX8:QJX9 QAB8:QAB9 PQF8:PQF9 PGJ8:PGJ9 OWN8:OWN9 OMR8:OMR9 OCV8:OCV9 NSZ8:NSZ9 NJD8:NJD9 MZH8:MZH9 MPL8:MPL9 MFP8:MFP9 LVT8:LVT9 LLX8:LLX9 LCB8:LCB9 KSF8:KSF9 KIJ8:KIJ9 JYN8:JYN9 JOR8:JOR9 JEV8:JEV9 IUZ8:IUZ9 ILD8:ILD9 IBH8:IBH9 HRL8:HRL9 HHP8:HHP9 GXT8:GXT9 GNX8:GNX9 GEB8:GEB9 FUF8:FUF9 FKJ8:FKJ9 FAN8:FAN9 EQR8:EQR9 EGV8:EGV9 DWZ8:DWZ9 DND8:DND9 DDH8:DDH9 CTL8:CTL9 CJP8:CJP9 BZT8:BZT9 BPX8:BPX9 BGB8:BGB9 AWF8:AWF9 AMJ8:AMJ9 ACN8:ACN9 SR8:SR9 IV8:IV9 SR4:SR5 I19 H5:H7 I8:I12 B5:B34">
      <formula1>DvListSource1</formula1>
    </dataValidation>
  </dataValidations>
  <pageMargins left="0.7" right="0.7" top="0.75" bottom="0.75" header="0.3" footer="0.3"/>
  <pageSetup orientation="portrait" horizontalDpi="1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2"/>
  <sheetViews>
    <sheetView tabSelected="1" topLeftCell="A4" workbookViewId="0">
      <selection activeCell="A23" sqref="A23:XFD23"/>
    </sheetView>
  </sheetViews>
  <sheetFormatPr defaultRowHeight="15"/>
  <cols>
    <col min="1" max="1" width="35.5703125" customWidth="1"/>
    <col min="2" max="2" width="12.28515625" style="30" customWidth="1"/>
    <col min="3" max="3" width="19.5703125" style="30" customWidth="1"/>
    <col min="4" max="4" width="32.7109375" style="30" customWidth="1"/>
    <col min="5" max="5" width="26.28515625" style="30" customWidth="1"/>
  </cols>
  <sheetData>
    <row r="1" spans="1:5">
      <c r="A1" s="36" t="s">
        <v>26</v>
      </c>
      <c r="B1" s="36" t="s">
        <v>27</v>
      </c>
      <c r="C1" s="37" t="s">
        <v>93</v>
      </c>
      <c r="D1" s="38" t="s">
        <v>91</v>
      </c>
      <c r="E1" s="38" t="s">
        <v>92</v>
      </c>
    </row>
    <row r="2" spans="1:5">
      <c r="A2" s="10" t="s">
        <v>28</v>
      </c>
      <c r="B2" s="26">
        <v>1</v>
      </c>
      <c r="C2" s="26">
        <v>4496.99</v>
      </c>
      <c r="D2" s="27">
        <f>C2*115%</f>
        <v>5171.5384999999997</v>
      </c>
      <c r="E2" s="32">
        <v>6759.58</v>
      </c>
    </row>
    <row r="3" spans="1:5">
      <c r="A3" s="10" t="s">
        <v>48</v>
      </c>
      <c r="B3" s="26">
        <v>2</v>
      </c>
      <c r="C3" s="26">
        <v>7077.91</v>
      </c>
      <c r="D3" s="27">
        <f t="shared" ref="D3:D23" si="0">C3*115%</f>
        <v>8139.5964999999997</v>
      </c>
      <c r="E3" s="32">
        <v>10153.35</v>
      </c>
    </row>
    <row r="4" spans="1:5">
      <c r="A4" s="10" t="s">
        <v>29</v>
      </c>
      <c r="B4" s="26">
        <v>2</v>
      </c>
      <c r="C4" s="26">
        <v>2185</v>
      </c>
      <c r="D4" s="27">
        <f t="shared" si="0"/>
        <v>2512.75</v>
      </c>
      <c r="E4" s="32">
        <v>4171.05</v>
      </c>
    </row>
    <row r="5" spans="1:5">
      <c r="A5" s="10" t="s">
        <v>30</v>
      </c>
      <c r="B5" s="26">
        <v>1</v>
      </c>
      <c r="C5" s="26">
        <v>3684</v>
      </c>
      <c r="D5" s="27">
        <f t="shared" si="0"/>
        <v>4236.5999999999995</v>
      </c>
      <c r="E5" s="33">
        <v>6302</v>
      </c>
    </row>
    <row r="6" spans="1:5">
      <c r="A6" s="10" t="s">
        <v>31</v>
      </c>
      <c r="B6" s="26">
        <v>2</v>
      </c>
      <c r="C6" s="26">
        <v>3875</v>
      </c>
      <c r="D6" s="27">
        <f t="shared" si="0"/>
        <v>4456.25</v>
      </c>
      <c r="E6" s="33">
        <v>7429</v>
      </c>
    </row>
    <row r="7" spans="1:5">
      <c r="A7" s="10" t="s">
        <v>32</v>
      </c>
      <c r="B7" s="26">
        <v>1</v>
      </c>
      <c r="C7" s="26">
        <v>2850</v>
      </c>
      <c r="D7" s="27">
        <f t="shared" si="0"/>
        <v>3277.4999999999995</v>
      </c>
      <c r="E7" s="33" t="s">
        <v>47</v>
      </c>
    </row>
    <row r="8" spans="1:5">
      <c r="A8" s="10" t="s">
        <v>33</v>
      </c>
      <c r="B8" s="26">
        <v>1</v>
      </c>
      <c r="C8" s="26">
        <v>2473</v>
      </c>
      <c r="D8" s="27">
        <f t="shared" si="0"/>
        <v>2843.95</v>
      </c>
      <c r="E8" s="33">
        <v>3806.5</v>
      </c>
    </row>
    <row r="9" spans="1:5">
      <c r="A9" s="10" t="s">
        <v>49</v>
      </c>
      <c r="B9" s="26">
        <v>1</v>
      </c>
      <c r="C9" s="26">
        <v>5037.21</v>
      </c>
      <c r="D9" s="27">
        <f t="shared" si="0"/>
        <v>5792.7914999999994</v>
      </c>
      <c r="E9" s="33">
        <v>6095.46</v>
      </c>
    </row>
    <row r="10" spans="1:5">
      <c r="A10" s="10" t="s">
        <v>34</v>
      </c>
      <c r="B10" s="26">
        <v>2</v>
      </c>
      <c r="C10" s="26">
        <v>4058.26</v>
      </c>
      <c r="D10" s="27">
        <f t="shared" si="0"/>
        <v>4666.9989999999998</v>
      </c>
      <c r="E10" s="33">
        <v>6467.84</v>
      </c>
    </row>
    <row r="11" spans="1:5">
      <c r="A11" s="10" t="s">
        <v>55</v>
      </c>
      <c r="B11" s="26">
        <v>1</v>
      </c>
      <c r="C11" s="26">
        <v>3556</v>
      </c>
      <c r="D11" s="27">
        <f t="shared" si="0"/>
        <v>4089.3999999999996</v>
      </c>
      <c r="E11" s="33">
        <v>6894.35</v>
      </c>
    </row>
    <row r="12" spans="1:5">
      <c r="A12" s="10" t="s">
        <v>35</v>
      </c>
      <c r="B12" s="26">
        <v>3</v>
      </c>
      <c r="C12" s="26">
        <v>1436.53</v>
      </c>
      <c r="D12" s="27">
        <f t="shared" si="0"/>
        <v>1652.0094999999999</v>
      </c>
      <c r="E12" s="33">
        <v>2335.66</v>
      </c>
    </row>
    <row r="13" spans="1:5">
      <c r="A13" s="10" t="s">
        <v>45</v>
      </c>
      <c r="B13" s="26">
        <v>1</v>
      </c>
      <c r="C13" s="26">
        <v>1797.19</v>
      </c>
      <c r="D13" s="27">
        <f t="shared" si="0"/>
        <v>2066.7684999999997</v>
      </c>
      <c r="E13" s="33">
        <v>2626</v>
      </c>
    </row>
    <row r="14" spans="1:5">
      <c r="A14" s="10" t="s">
        <v>36</v>
      </c>
      <c r="B14" s="26">
        <v>1</v>
      </c>
      <c r="C14" s="26">
        <v>1358.95</v>
      </c>
      <c r="D14" s="27">
        <f t="shared" si="0"/>
        <v>1562.7925</v>
      </c>
      <c r="E14" s="33">
        <v>2060.85</v>
      </c>
    </row>
    <row r="15" spans="1:5">
      <c r="A15" s="10" t="s">
        <v>37</v>
      </c>
      <c r="B15" s="26">
        <v>2</v>
      </c>
      <c r="C15" s="26">
        <v>2460.9499999999998</v>
      </c>
      <c r="D15" s="27">
        <f t="shared" si="0"/>
        <v>2830.0924999999997</v>
      </c>
      <c r="E15" s="33">
        <v>3583.71</v>
      </c>
    </row>
    <row r="16" spans="1:5">
      <c r="A16" s="10" t="s">
        <v>38</v>
      </c>
      <c r="B16" s="26">
        <v>1</v>
      </c>
      <c r="C16" s="26">
        <v>2390.59</v>
      </c>
      <c r="D16" s="27">
        <f t="shared" si="0"/>
        <v>2749.1785</v>
      </c>
      <c r="E16" s="33">
        <v>3286.07</v>
      </c>
    </row>
    <row r="17" spans="1:5">
      <c r="A17" s="10" t="s">
        <v>39</v>
      </c>
      <c r="B17" s="26">
        <v>2</v>
      </c>
      <c r="C17" s="26">
        <v>876</v>
      </c>
      <c r="D17" s="27">
        <f t="shared" si="0"/>
        <v>1007.4</v>
      </c>
      <c r="E17" s="33">
        <v>1277.6500000000001</v>
      </c>
    </row>
    <row r="18" spans="1:5">
      <c r="A18" s="10" t="s">
        <v>41</v>
      </c>
      <c r="B18" s="26">
        <v>1</v>
      </c>
      <c r="C18" s="26">
        <v>526.16</v>
      </c>
      <c r="D18" s="27">
        <f t="shared" si="0"/>
        <v>605.08399999999995</v>
      </c>
      <c r="E18" s="33">
        <v>828.8</v>
      </c>
    </row>
    <row r="19" spans="1:5">
      <c r="A19" s="10" t="s">
        <v>40</v>
      </c>
      <c r="B19" s="26">
        <v>3</v>
      </c>
      <c r="C19" s="26">
        <v>614.36</v>
      </c>
      <c r="D19" s="27">
        <f t="shared" si="0"/>
        <v>706.51400000000001</v>
      </c>
      <c r="E19" s="33">
        <v>894.79</v>
      </c>
    </row>
    <row r="20" spans="1:5">
      <c r="A20" s="10" t="s">
        <v>42</v>
      </c>
      <c r="B20" s="26">
        <v>5</v>
      </c>
      <c r="C20" s="26">
        <v>0</v>
      </c>
      <c r="D20" s="27">
        <f t="shared" si="0"/>
        <v>0</v>
      </c>
      <c r="E20" s="33"/>
    </row>
    <row r="21" spans="1:5">
      <c r="A21" s="10" t="s">
        <v>43</v>
      </c>
      <c r="B21" s="26">
        <v>1</v>
      </c>
      <c r="C21" s="26">
        <v>0</v>
      </c>
      <c r="D21" s="27">
        <f t="shared" si="0"/>
        <v>0</v>
      </c>
      <c r="E21" s="33"/>
    </row>
    <row r="22" spans="1:5">
      <c r="A22" s="10" t="s">
        <v>44</v>
      </c>
      <c r="B22" s="26">
        <v>3</v>
      </c>
      <c r="C22" s="26">
        <v>0</v>
      </c>
      <c r="D22" s="27">
        <f t="shared" si="0"/>
        <v>0</v>
      </c>
      <c r="E22" s="33"/>
    </row>
    <row r="23" spans="1:5">
      <c r="A23" s="10" t="s">
        <v>46</v>
      </c>
      <c r="B23" s="26">
        <v>3</v>
      </c>
      <c r="C23" s="26">
        <v>0</v>
      </c>
      <c r="D23" s="27">
        <f t="shared" si="0"/>
        <v>0</v>
      </c>
      <c r="E23" s="33"/>
    </row>
    <row r="24" spans="1:5">
      <c r="A24" s="10" t="s">
        <v>50</v>
      </c>
      <c r="B24" s="26">
        <v>1</v>
      </c>
      <c r="C24" s="26">
        <v>669.81</v>
      </c>
      <c r="D24" s="27">
        <f>C24*115%</f>
        <v>770.28149999999982</v>
      </c>
      <c r="E24" s="32">
        <v>1483.71</v>
      </c>
    </row>
    <row r="25" spans="1:5">
      <c r="A25" s="10" t="s">
        <v>51</v>
      </c>
      <c r="B25" s="26">
        <v>1</v>
      </c>
      <c r="C25" s="26">
        <v>945</v>
      </c>
      <c r="D25" s="27">
        <f t="shared" ref="D25:D51" si="1">C25*115%</f>
        <v>1086.75</v>
      </c>
      <c r="E25" s="32">
        <v>1546.81</v>
      </c>
    </row>
    <row r="26" spans="1:5">
      <c r="A26" s="10" t="s">
        <v>52</v>
      </c>
      <c r="B26" s="26">
        <v>1</v>
      </c>
      <c r="C26" s="26">
        <v>1080</v>
      </c>
      <c r="D26" s="27">
        <f t="shared" si="1"/>
        <v>1242</v>
      </c>
      <c r="E26" s="32">
        <v>1391.04</v>
      </c>
    </row>
    <row r="27" spans="1:5">
      <c r="A27" s="10" t="s">
        <v>53</v>
      </c>
      <c r="B27" s="26">
        <v>1</v>
      </c>
      <c r="C27" s="26">
        <v>900</v>
      </c>
      <c r="D27" s="27">
        <f t="shared" si="1"/>
        <v>1035</v>
      </c>
      <c r="E27" s="33">
        <v>1159.2</v>
      </c>
    </row>
    <row r="28" spans="1:5">
      <c r="A28" s="10" t="s">
        <v>54</v>
      </c>
      <c r="B28" s="26">
        <v>6</v>
      </c>
      <c r="C28" s="26">
        <v>292</v>
      </c>
      <c r="D28" s="27">
        <f t="shared" si="1"/>
        <v>335.79999999999995</v>
      </c>
      <c r="E28" s="33">
        <v>422.09</v>
      </c>
    </row>
    <row r="29" spans="1:5">
      <c r="A29" s="1" t="s">
        <v>56</v>
      </c>
      <c r="B29" s="26">
        <v>4</v>
      </c>
      <c r="C29" s="26">
        <v>265.5</v>
      </c>
      <c r="D29" s="27">
        <f t="shared" si="1"/>
        <v>305.32499999999999</v>
      </c>
      <c r="E29" s="33">
        <v>374.67</v>
      </c>
    </row>
    <row r="30" spans="1:5">
      <c r="A30" s="1" t="s">
        <v>57</v>
      </c>
      <c r="B30" s="26">
        <v>2</v>
      </c>
      <c r="C30" s="26">
        <v>260.10000000000002</v>
      </c>
      <c r="D30" s="27">
        <f t="shared" si="1"/>
        <v>299.11500000000001</v>
      </c>
      <c r="E30" s="33">
        <v>470.92</v>
      </c>
    </row>
    <row r="31" spans="1:5">
      <c r="A31" s="1" t="s">
        <v>58</v>
      </c>
      <c r="B31" s="26">
        <v>2</v>
      </c>
      <c r="C31" s="26">
        <v>359.1</v>
      </c>
      <c r="D31" s="27">
        <f t="shared" si="1"/>
        <v>412.96499999999997</v>
      </c>
      <c r="E31" s="33">
        <v>703.8</v>
      </c>
    </row>
    <row r="32" spans="1:5">
      <c r="A32" s="1" t="s">
        <v>59</v>
      </c>
      <c r="B32" s="26">
        <v>2</v>
      </c>
      <c r="C32" s="26">
        <v>359.62</v>
      </c>
      <c r="D32" s="27">
        <f t="shared" si="1"/>
        <v>413.56299999999999</v>
      </c>
      <c r="E32" s="33">
        <v>615.82000000000005</v>
      </c>
    </row>
    <row r="33" spans="1:5">
      <c r="A33" s="1" t="s">
        <v>60</v>
      </c>
      <c r="B33" s="26">
        <v>1</v>
      </c>
      <c r="C33" s="26">
        <v>373.5</v>
      </c>
      <c r="D33" s="27">
        <f t="shared" si="1"/>
        <v>429.52499999999998</v>
      </c>
      <c r="E33" s="33">
        <v>516.47</v>
      </c>
    </row>
    <row r="34" spans="1:5">
      <c r="A34" s="1" t="s">
        <v>60</v>
      </c>
      <c r="B34" s="26">
        <v>2</v>
      </c>
      <c r="C34" s="26">
        <v>449.1</v>
      </c>
      <c r="D34" s="27">
        <f t="shared" si="1"/>
        <v>516.46500000000003</v>
      </c>
      <c r="E34" s="33">
        <v>516.47</v>
      </c>
    </row>
    <row r="35" spans="1:5">
      <c r="A35" s="1" t="s">
        <v>61</v>
      </c>
      <c r="B35" s="26">
        <v>2</v>
      </c>
      <c r="C35" s="26">
        <v>506</v>
      </c>
      <c r="D35" s="27">
        <f t="shared" si="1"/>
        <v>581.9</v>
      </c>
      <c r="E35" s="33">
        <v>883.2</v>
      </c>
    </row>
    <row r="36" spans="1:5">
      <c r="A36" s="1" t="s">
        <v>62</v>
      </c>
      <c r="B36" s="26">
        <v>2</v>
      </c>
      <c r="C36" s="26">
        <v>503.59</v>
      </c>
      <c r="D36" s="27">
        <f t="shared" si="1"/>
        <v>579.12849999999992</v>
      </c>
      <c r="E36" s="33">
        <v>902.75</v>
      </c>
    </row>
    <row r="37" spans="1:5">
      <c r="A37" s="1" t="s">
        <v>63</v>
      </c>
      <c r="B37" s="26">
        <v>2</v>
      </c>
      <c r="C37" s="26">
        <v>385.98</v>
      </c>
      <c r="D37" s="27">
        <f t="shared" si="1"/>
        <v>443.87700000000001</v>
      </c>
      <c r="E37" s="33" t="s">
        <v>47</v>
      </c>
    </row>
    <row r="38" spans="1:5">
      <c r="A38" s="1" t="s">
        <v>64</v>
      </c>
      <c r="B38" s="26">
        <v>2</v>
      </c>
      <c r="C38" s="26">
        <v>400</v>
      </c>
      <c r="D38" s="27">
        <f t="shared" si="1"/>
        <v>459.99999999999994</v>
      </c>
      <c r="E38" s="33">
        <v>869.4</v>
      </c>
    </row>
    <row r="39" spans="1:5">
      <c r="A39" s="1" t="s">
        <v>65</v>
      </c>
      <c r="B39" s="26">
        <v>4</v>
      </c>
      <c r="C39" s="26">
        <v>890.44</v>
      </c>
      <c r="D39" s="27">
        <f t="shared" si="1"/>
        <v>1024.0060000000001</v>
      </c>
      <c r="E39" s="33">
        <v>1138.5</v>
      </c>
    </row>
    <row r="40" spans="1:5">
      <c r="A40" s="8" t="s">
        <v>66</v>
      </c>
      <c r="B40" s="26">
        <v>2</v>
      </c>
      <c r="C40" s="26">
        <v>1100</v>
      </c>
      <c r="D40" s="27">
        <f t="shared" si="1"/>
        <v>1265</v>
      </c>
      <c r="E40" s="33">
        <v>1714.65</v>
      </c>
    </row>
    <row r="41" spans="1:5">
      <c r="A41" s="10" t="s">
        <v>67</v>
      </c>
      <c r="B41" s="26">
        <v>4</v>
      </c>
      <c r="C41" s="26">
        <v>356.4</v>
      </c>
      <c r="D41" s="27">
        <f t="shared" si="1"/>
        <v>409.85999999999996</v>
      </c>
      <c r="E41" s="33">
        <v>624.01</v>
      </c>
    </row>
    <row r="42" spans="1:5">
      <c r="A42" s="28" t="s">
        <v>68</v>
      </c>
      <c r="B42" s="26">
        <v>2</v>
      </c>
      <c r="C42" s="26">
        <v>348.3</v>
      </c>
      <c r="D42" s="27">
        <f t="shared" si="1"/>
        <v>400.54499999999996</v>
      </c>
      <c r="E42" s="33">
        <v>619.67999999999995</v>
      </c>
    </row>
    <row r="43" spans="1:5">
      <c r="A43" s="10" t="s">
        <v>69</v>
      </c>
      <c r="B43" s="26">
        <v>3</v>
      </c>
      <c r="C43" s="26">
        <v>348.3</v>
      </c>
      <c r="D43" s="27">
        <f t="shared" si="1"/>
        <v>400.54499999999996</v>
      </c>
      <c r="E43" s="33">
        <v>612.88</v>
      </c>
    </row>
    <row r="44" spans="1:5">
      <c r="A44" s="10" t="s">
        <v>70</v>
      </c>
      <c r="B44" s="26">
        <v>2</v>
      </c>
      <c r="C44" s="26">
        <v>486</v>
      </c>
      <c r="D44" s="27">
        <f t="shared" si="1"/>
        <v>558.9</v>
      </c>
      <c r="E44" s="33">
        <v>747.5</v>
      </c>
    </row>
    <row r="45" spans="1:5">
      <c r="A45" s="10" t="s">
        <v>77</v>
      </c>
      <c r="B45" s="26">
        <v>4</v>
      </c>
      <c r="C45" s="26">
        <v>495</v>
      </c>
      <c r="D45" s="27">
        <f t="shared" si="1"/>
        <v>569.25</v>
      </c>
      <c r="E45" s="33">
        <v>879.75</v>
      </c>
    </row>
    <row r="46" spans="1:5">
      <c r="A46" s="10" t="s">
        <v>71</v>
      </c>
      <c r="B46" s="26">
        <v>4</v>
      </c>
      <c r="C46" s="26">
        <v>319.5</v>
      </c>
      <c r="D46" s="27">
        <f t="shared" si="1"/>
        <v>367.42499999999995</v>
      </c>
      <c r="E46" s="33">
        <v>708.97</v>
      </c>
    </row>
    <row r="47" spans="1:5">
      <c r="A47" s="10" t="s">
        <v>72</v>
      </c>
      <c r="B47" s="26">
        <v>3</v>
      </c>
      <c r="C47" s="26">
        <v>355.4</v>
      </c>
      <c r="D47" s="27">
        <f t="shared" si="1"/>
        <v>408.70999999999992</v>
      </c>
      <c r="E47" s="33">
        <v>750.57</v>
      </c>
    </row>
    <row r="48" spans="1:5">
      <c r="A48" s="10" t="s">
        <v>73</v>
      </c>
      <c r="B48" s="26">
        <v>4</v>
      </c>
      <c r="C48" s="26">
        <v>498</v>
      </c>
      <c r="D48" s="27">
        <f t="shared" si="1"/>
        <v>572.69999999999993</v>
      </c>
      <c r="E48" s="33">
        <v>877.43</v>
      </c>
    </row>
    <row r="49" spans="1:5">
      <c r="A49" s="10" t="s">
        <v>74</v>
      </c>
      <c r="B49" s="26">
        <v>2</v>
      </c>
      <c r="C49" s="26">
        <v>394.11</v>
      </c>
      <c r="D49" s="27">
        <f t="shared" si="1"/>
        <v>453.22649999999999</v>
      </c>
      <c r="E49" s="33">
        <v>568.22</v>
      </c>
    </row>
    <row r="50" spans="1:5">
      <c r="A50" s="10" t="s">
        <v>75</v>
      </c>
      <c r="B50" s="33">
        <v>1</v>
      </c>
      <c r="C50" s="32">
        <v>258.3</v>
      </c>
      <c r="D50" s="32">
        <f t="shared" si="1"/>
        <v>297.04500000000002</v>
      </c>
      <c r="E50" s="32">
        <v>470.92</v>
      </c>
    </row>
    <row r="51" spans="1:5">
      <c r="A51" s="10" t="s">
        <v>76</v>
      </c>
      <c r="B51" s="33">
        <v>4</v>
      </c>
      <c r="C51" s="32">
        <v>331.52</v>
      </c>
      <c r="D51" s="32">
        <f t="shared" si="1"/>
        <v>381.24799999999993</v>
      </c>
      <c r="E51" s="32">
        <v>608.87</v>
      </c>
    </row>
    <row r="52" spans="1:5">
      <c r="A52" s="10" t="s">
        <v>78</v>
      </c>
      <c r="B52" s="27">
        <v>5</v>
      </c>
      <c r="C52" s="26">
        <v>1473.64</v>
      </c>
      <c r="D52" s="29">
        <v>1934.56</v>
      </c>
      <c r="E52" s="32" t="s">
        <v>79</v>
      </c>
    </row>
    <row r="53" spans="1:5">
      <c r="A53" s="31" t="s">
        <v>80</v>
      </c>
      <c r="B53" s="33">
        <v>6</v>
      </c>
      <c r="C53" s="32">
        <v>184.79</v>
      </c>
      <c r="D53" s="32">
        <v>230.99</v>
      </c>
      <c r="E53" s="32" t="s">
        <v>81</v>
      </c>
    </row>
    <row r="54" spans="1:5">
      <c r="A54" s="34" t="s">
        <v>82</v>
      </c>
      <c r="B54" s="33">
        <v>10</v>
      </c>
      <c r="C54" s="32">
        <v>233.87</v>
      </c>
      <c r="D54" s="32">
        <v>304.04000000000002</v>
      </c>
      <c r="E54" s="32" t="s">
        <v>79</v>
      </c>
    </row>
    <row r="55" spans="1:5">
      <c r="A55" s="34" t="s">
        <v>83</v>
      </c>
      <c r="B55" s="33">
        <v>3</v>
      </c>
      <c r="C55" s="32">
        <v>488.43</v>
      </c>
      <c r="D55" s="32">
        <v>641.5</v>
      </c>
      <c r="E55" s="32" t="s">
        <v>79</v>
      </c>
    </row>
    <row r="56" spans="1:5">
      <c r="A56" s="34" t="s">
        <v>84</v>
      </c>
      <c r="B56" s="33">
        <v>4</v>
      </c>
      <c r="C56" s="32">
        <v>259.60000000000002</v>
      </c>
      <c r="D56" s="32">
        <v>337.5</v>
      </c>
      <c r="E56" s="32" t="s">
        <v>79</v>
      </c>
    </row>
    <row r="57" spans="1:5">
      <c r="A57" s="34" t="s">
        <v>85</v>
      </c>
      <c r="B57" s="33">
        <v>4</v>
      </c>
      <c r="C57" s="32">
        <v>275.02999999999997</v>
      </c>
      <c r="D57" s="32">
        <v>357.53</v>
      </c>
      <c r="E57" s="32" t="s">
        <v>79</v>
      </c>
    </row>
    <row r="58" spans="1:5">
      <c r="A58" s="34" t="s">
        <v>86</v>
      </c>
      <c r="B58" s="33">
        <v>4</v>
      </c>
      <c r="C58" s="32">
        <v>278.39999999999998</v>
      </c>
      <c r="D58" s="32">
        <v>391.92</v>
      </c>
      <c r="E58" s="32" t="s">
        <v>79</v>
      </c>
    </row>
    <row r="59" spans="1:5">
      <c r="A59" s="34" t="s">
        <v>87</v>
      </c>
      <c r="B59" s="33">
        <v>20</v>
      </c>
      <c r="C59" s="32">
        <v>215.48</v>
      </c>
      <c r="D59" s="32">
        <v>280.12</v>
      </c>
      <c r="E59" s="32" t="s">
        <v>79</v>
      </c>
    </row>
    <row r="60" spans="1:5">
      <c r="A60" s="34" t="s">
        <v>88</v>
      </c>
      <c r="B60" s="33">
        <v>20</v>
      </c>
      <c r="C60" s="32">
        <v>229.33</v>
      </c>
      <c r="D60" s="32">
        <v>298.12</v>
      </c>
      <c r="E60" s="32" t="s">
        <v>79</v>
      </c>
    </row>
    <row r="61" spans="1:5">
      <c r="A61" s="34" t="s">
        <v>89</v>
      </c>
      <c r="B61" s="33">
        <v>1</v>
      </c>
      <c r="C61" s="32">
        <v>2448.38</v>
      </c>
      <c r="D61" s="32">
        <v>3182.89</v>
      </c>
      <c r="E61" s="32" t="s">
        <v>79</v>
      </c>
    </row>
    <row r="62" spans="1:5">
      <c r="A62" s="35" t="s">
        <v>90</v>
      </c>
      <c r="B62" s="33">
        <v>1</v>
      </c>
      <c r="C62" s="33">
        <v>1516</v>
      </c>
      <c r="D62" s="32">
        <v>1982.77</v>
      </c>
      <c r="E62" s="32" t="s">
        <v>79</v>
      </c>
    </row>
  </sheetData>
  <dataValidations count="1">
    <dataValidation type="list" allowBlank="1" showInputMessage="1" showErrorMessage="1" sqref="D52 D2:D49">
      <formula1>DvListSource2</formula1>
    </dataValidation>
  </dataValidation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RETAIL</vt:lpstr>
      <vt:lpstr>EN-GROSS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Calin</cp:lastModifiedBy>
  <cp:lastPrinted>2026-06-10T09:56:05Z</cp:lastPrinted>
  <dcterms:created xsi:type="dcterms:W3CDTF">2021-05-27T15:02:29Z</dcterms:created>
  <dcterms:modified xsi:type="dcterms:W3CDTF">2026-07-03T11:20:44Z</dcterms:modified>
</cp:coreProperties>
</file>