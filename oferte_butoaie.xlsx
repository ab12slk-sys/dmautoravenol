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3250" windowHeight="12450"/>
  </bookViews>
  <sheets>
    <sheet name="EN-GROSS" sheetId="2" r:id="rId1"/>
  </sheets>
  <externalReferences>
    <externalReference r:id="rId2"/>
  </externalReferences>
  <definedNames>
    <definedName name="DvListSource1">[1]Sheet2!$C$1:$C$38</definedName>
    <definedName name="DvListSource2">[1]Sheet2!$G$1:$G$8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2"/>
  <c r="D45"/>
  <c r="D30"/>
  <c r="D44"/>
  <c r="D43"/>
  <c r="D42"/>
  <c r="D41"/>
  <c r="D40"/>
  <c r="D39"/>
  <c r="D38"/>
  <c r="D37"/>
  <c r="D36"/>
  <c r="D35"/>
  <c r="D34"/>
  <c r="D33"/>
  <c r="D32"/>
  <c r="D31"/>
  <c r="D29"/>
  <c r="D28"/>
  <c r="D27"/>
  <c r="D26"/>
  <c r="D25"/>
  <c r="D24"/>
  <c r="D23"/>
  <c r="D22"/>
  <c r="D21"/>
  <c r="D3"/>
  <c r="D4"/>
  <c r="D5"/>
  <c r="D6"/>
  <c r="D7"/>
  <c r="D8"/>
  <c r="D9"/>
  <c r="D10"/>
  <c r="D11"/>
  <c r="D12"/>
  <c r="D13"/>
  <c r="D14"/>
  <c r="D15"/>
  <c r="D16"/>
  <c r="D17"/>
  <c r="D18"/>
  <c r="D19"/>
  <c r="D20"/>
  <c r="D2"/>
</calcChain>
</file>

<file path=xl/sharedStrings.xml><?xml version="1.0" encoding="utf-8"?>
<sst xmlns="http://schemas.openxmlformats.org/spreadsheetml/2006/main" count="92" uniqueCount="78">
  <si>
    <t>DENUMIRE PRODUS</t>
  </si>
  <si>
    <t>CANTITATE</t>
  </si>
  <si>
    <t>RAV VMO 5W40 208L</t>
  </si>
  <si>
    <t>RAV TS 46 HLP 208L</t>
  </si>
  <si>
    <t>RAV LOW EMISSION TRUCK 208L</t>
  </si>
  <si>
    <t>RAV PERFORMANCE TRUCK 10W40 208L</t>
  </si>
  <si>
    <t>RAV TURBO PLUS SHPD 15W40 208L</t>
  </si>
  <si>
    <t>RAV OTC 208L</t>
  </si>
  <si>
    <t>RAV HLS 5W30 208L</t>
  </si>
  <si>
    <t>RAV VMO 5W40 60L</t>
  </si>
  <si>
    <t>RAV HCS 5W40 60L</t>
  </si>
  <si>
    <t>RAV CVT FLUID 60L</t>
  </si>
  <si>
    <t>RAV DCT-HV FLUID 60L</t>
  </si>
  <si>
    <t>RAV OTC 60L</t>
  </si>
  <si>
    <t>RAV SMP 5W30 20L BIB</t>
  </si>
  <si>
    <t>RAV VMO 5W40 20L BIB</t>
  </si>
  <si>
    <t xml:space="preserve">RAV SMP 5W30 60L </t>
  </si>
  <si>
    <t>FARA STOC ORADEA</t>
  </si>
  <si>
    <t>RAV VMP 5W30 208L</t>
  </si>
  <si>
    <t>RAV SMP 5W30 208L</t>
  </si>
  <si>
    <t>RAV SSF FLUID 20L BIB</t>
  </si>
  <si>
    <t>RAV DCT HV FLUID 20L</t>
  </si>
  <si>
    <t>RAV ATF 8HP FLUID 20L BIB</t>
  </si>
  <si>
    <t>RAV ATF 6HP FLUID 20L BIB</t>
  </si>
  <si>
    <t xml:space="preserve">RV OTC 20L </t>
  </si>
  <si>
    <t>RAV CATOEL TO-4  10W 208L</t>
  </si>
  <si>
    <t>RAV Hyd TS 46 (HLP) 20 L</t>
  </si>
  <si>
    <t>RAV Hyd TS 32 (HLP)  20 L</t>
  </si>
  <si>
    <t>RAV Low Emi. Truck SAE 10W-30 20L</t>
  </si>
  <si>
    <t>RAV Low Emi. Truck SAE 10W-40 20L</t>
  </si>
  <si>
    <t>RAV Turbo SHPD SAE 15W-40  20 L</t>
  </si>
  <si>
    <t>RAV EPX SAE 80W-90 GL 5  20 L</t>
  </si>
  <si>
    <t>RAV EPX SAE 85W-90 GL 5 20L</t>
  </si>
  <si>
    <t>RAV EPX SAE 85W-140 GL 5 20L</t>
  </si>
  <si>
    <t>RAV ATF Dexron D II  20 L</t>
  </si>
  <si>
    <t>RAV VSG SAE 75W-90  20 L</t>
  </si>
  <si>
    <t>RAV SSG 75W-80  20 L</t>
  </si>
  <si>
    <t>RAV STOU SAE 15W-40 20L</t>
  </si>
  <si>
    <t>RAV STOU SAE 10W-40 20L</t>
  </si>
  <si>
    <t>RAV PERFORMANCE TRUCK 10W-40 20L</t>
  </si>
  <si>
    <t>RAV CLP 220 GETRIEBECEL 20L</t>
  </si>
  <si>
    <t>RAV CATOEL TO-4 10W 20L</t>
  </si>
  <si>
    <t>RAV CATOEL TO-4 30W 20L</t>
  </si>
  <si>
    <t>RAV FORMEL SUPER 20W-50 20L</t>
  </si>
  <si>
    <t>RAV TSX 46  20L</t>
  </si>
  <si>
    <t>RAV UTTO SAE 80W 20L</t>
  </si>
  <si>
    <t>RAV ULTRA SYNTETIK 5W-30 20L</t>
  </si>
  <si>
    <t>VAL HLP 46 208L</t>
  </si>
  <si>
    <t>ADAOS 30%</t>
  </si>
  <si>
    <t>VAL HLP 46 20L</t>
  </si>
  <si>
    <t>ADAOS 25%</t>
  </si>
  <si>
    <t>VAL ALL FLEET 15W40 20L</t>
  </si>
  <si>
    <t>REP AUTOMATOR ATF III 20L</t>
  </si>
  <si>
    <t>CYC GEAR EP/GL-4 80W90 20L</t>
  </si>
  <si>
    <t>CYC GEAR EP/GL-5 80W90 20L</t>
  </si>
  <si>
    <t>CYC ATF TYPE D 20L</t>
  </si>
  <si>
    <t>CYC HIDROPREMIUM 46 20L</t>
  </si>
  <si>
    <t>CYC GRANIT MAXIMUM 15W40 20L</t>
  </si>
  <si>
    <t>CYC MAGMA X-100 5W40 208L</t>
  </si>
  <si>
    <t xml:space="preserve">CYC HIDROPREMIUM 46 208L </t>
  </si>
  <si>
    <t>RAV ATF DEXRON III H 20L CUSTODIE</t>
  </si>
  <si>
    <t>CYC HIDROPREMIUM 46 10L</t>
  </si>
  <si>
    <t>CASTROL EDGE 5W30 LL 208L</t>
  </si>
  <si>
    <t>ADAOS 16.15%</t>
  </si>
  <si>
    <t>CASTROL EDGE 5W30 LL 208L APR</t>
  </si>
  <si>
    <t>ADAOS 26.12%</t>
  </si>
  <si>
    <t>CASTROL EDGE 5W40 TD 208L</t>
  </si>
  <si>
    <t>ADAOS 21.21%</t>
  </si>
  <si>
    <t>FUCHS TITAN CARGO LA 10W-40 205L MAT</t>
  </si>
  <si>
    <t>FUCHS TITAN GT 1 FLEX C23 5W-30 205L FUCHS</t>
  </si>
  <si>
    <t>ADAOS 15%</t>
  </si>
  <si>
    <t>FUCHS TITAN GT1 F.C23 5W30 205L IC</t>
  </si>
  <si>
    <t>ADAOS 17.73%</t>
  </si>
  <si>
    <t>FUCHS TITAN TRUCK PLUS SAE 15W40 205L MAT</t>
  </si>
  <si>
    <t xml:space="preserve">FUCHS TITAN CARGO MAXX II 10W-40 205L MAT </t>
  </si>
  <si>
    <t>Pret vanzare ORADEA+15%</t>
  </si>
  <si>
    <t>Pret vanzare ALBA 15%</t>
  </si>
  <si>
    <t>Pret achizitie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</si>
</sst>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3" xfId="0" applyBorder="1"/>
    <xf numFmtId="4" fontId="1" fillId="0" borderId="3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ownloads/DM_06.05.2021_Preturi%20agenti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"/>
      <sheetName val="Sheet2"/>
    </sheetNames>
    <sheetDataSet>
      <sheetData sheetId="0" refreshError="1"/>
      <sheetData sheetId="1">
        <row r="1">
          <cell r="C1" t="str">
            <v>BUC</v>
          </cell>
          <cell r="G1" t="str">
            <v>RON</v>
          </cell>
        </row>
        <row r="2">
          <cell r="C2" t="str">
            <v>TOP</v>
          </cell>
          <cell r="G2" t="str">
            <v>USD</v>
          </cell>
        </row>
        <row r="3">
          <cell r="C3" t="str">
            <v>Bax</v>
          </cell>
          <cell r="G3" t="str">
            <v>EUR</v>
          </cell>
        </row>
        <row r="4">
          <cell r="C4" t="str">
            <v>CUTIE</v>
          </cell>
          <cell r="G4" t="str">
            <v>ROL</v>
          </cell>
        </row>
        <row r="5">
          <cell r="C5" t="str">
            <v>KG</v>
          </cell>
          <cell r="G5" t="str">
            <v>SEK</v>
          </cell>
        </row>
        <row r="6">
          <cell r="C6" t="str">
            <v>LITRU</v>
          </cell>
          <cell r="G6" t="str">
            <v>CHF</v>
          </cell>
        </row>
        <row r="7">
          <cell r="C7" t="str">
            <v>BIDON</v>
          </cell>
          <cell r="G7" t="str">
            <v>GBP</v>
          </cell>
        </row>
        <row r="8">
          <cell r="C8" t="str">
            <v>CANISTRA</v>
          </cell>
          <cell r="G8" t="str">
            <v>PMK</v>
          </cell>
        </row>
        <row r="9">
          <cell r="C9" t="str">
            <v>CARNET</v>
          </cell>
        </row>
        <row r="10">
          <cell r="C10" t="str">
            <v>FLACON</v>
          </cell>
        </row>
        <row r="11">
          <cell r="C11" t="str">
            <v>FOLIE</v>
          </cell>
        </row>
        <row r="12">
          <cell r="C12" t="str">
            <v>PG</v>
          </cell>
        </row>
        <row r="13">
          <cell r="C13" t="str">
            <v>PLIC</v>
          </cell>
        </row>
        <row r="14">
          <cell r="C14" t="str">
            <v>PUNGA</v>
          </cell>
        </row>
        <row r="15">
          <cell r="C15" t="str">
            <v>ROLA</v>
          </cell>
        </row>
        <row r="16">
          <cell r="C16" t="str">
            <v>SAC</v>
          </cell>
        </row>
        <row r="17">
          <cell r="C17" t="str">
            <v>SER</v>
          </cell>
        </row>
        <row r="18">
          <cell r="C18" t="str">
            <v>SET</v>
          </cell>
        </row>
        <row r="19">
          <cell r="C19" t="str">
            <v>-</v>
          </cell>
        </row>
        <row r="20">
          <cell r="C20" t="str">
            <v>BLISTER</v>
          </cell>
        </row>
        <row r="21">
          <cell r="C21" t="str">
            <v>BORCAN</v>
          </cell>
        </row>
        <row r="22">
          <cell r="C22" t="str">
            <v>DOZA</v>
          </cell>
        </row>
        <row r="23">
          <cell r="C23" t="str">
            <v>FIOLA</v>
          </cell>
        </row>
        <row r="24">
          <cell r="C24" t="str">
            <v>GR</v>
          </cell>
        </row>
        <row r="25">
          <cell r="C25" t="str">
            <v>ML</v>
          </cell>
        </row>
        <row r="26">
          <cell r="C26" t="str">
            <v>PACHET</v>
          </cell>
        </row>
        <row r="27">
          <cell r="C27" t="str">
            <v>PERECHE</v>
          </cell>
        </row>
        <row r="28">
          <cell r="C28" t="str">
            <v>PLIANT</v>
          </cell>
        </row>
        <row r="29">
          <cell r="C29" t="str">
            <v>SUL</v>
          </cell>
        </row>
        <row r="30">
          <cell r="C30" t="str">
            <v>TRUSA</v>
          </cell>
        </row>
        <row r="31">
          <cell r="C31" t="str">
            <v>TUB</v>
          </cell>
        </row>
        <row r="32">
          <cell r="C32" t="str">
            <v>CARTUS</v>
          </cell>
        </row>
        <row r="33">
          <cell r="C33" t="str">
            <v>KIT</v>
          </cell>
        </row>
        <row r="34">
          <cell r="C34" t="str">
            <v>mg</v>
          </cell>
        </row>
        <row r="35">
          <cell r="C35" t="str">
            <v>MP</v>
          </cell>
        </row>
        <row r="36">
          <cell r="C36" t="str">
            <v>MC</v>
          </cell>
        </row>
        <row r="37">
          <cell r="C37" t="str">
            <v>to</v>
          </cell>
        </row>
        <row r="38">
          <cell r="C38" t="str">
            <v>Ora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>
      <selection activeCell="B1" sqref="B1"/>
    </sheetView>
  </sheetViews>
  <sheetFormatPr defaultRowHeight="15"/>
  <cols>
    <col min="1" max="1" width="40.7109375" customWidth="1"/>
    <col min="2" max="2" width="18" customWidth="1"/>
    <col min="3" max="3" width="22" customWidth="1"/>
    <col min="4" max="4" width="32" customWidth="1"/>
    <col min="5" max="5" width="33.28515625" customWidth="1"/>
  </cols>
  <sheetData>
    <row r="1" spans="1:5" ht="18.75">
      <c r="A1" s="4" t="s">
        <v>0</v>
      </c>
      <c r="B1" s="4" t="s">
        <v>1</v>
      </c>
      <c r="C1" s="5" t="s">
        <v>77</v>
      </c>
      <c r="D1" s="6" t="s">
        <v>76</v>
      </c>
      <c r="E1" s="6" t="s">
        <v>75</v>
      </c>
    </row>
    <row r="2" spans="1:5">
      <c r="A2" s="3" t="s">
        <v>2</v>
      </c>
      <c r="B2" s="8">
        <v>1</v>
      </c>
      <c r="C2" s="8">
        <v>4496.99</v>
      </c>
      <c r="D2" s="9">
        <f>C2*115%</f>
        <v>5171.5384999999997</v>
      </c>
      <c r="E2" s="10">
        <v>6759.58</v>
      </c>
    </row>
    <row r="3" spans="1:5">
      <c r="A3" s="3" t="s">
        <v>18</v>
      </c>
      <c r="B3" s="8">
        <v>2</v>
      </c>
      <c r="C3" s="8">
        <v>7077.91</v>
      </c>
      <c r="D3" s="9">
        <f t="shared" ref="D3:D20" si="0">C3*115%</f>
        <v>8139.5964999999997</v>
      </c>
      <c r="E3" s="10">
        <v>10153.35</v>
      </c>
    </row>
    <row r="4" spans="1:5">
      <c r="A4" s="3" t="s">
        <v>3</v>
      </c>
      <c r="B4" s="8">
        <v>2</v>
      </c>
      <c r="C4" s="8">
        <v>2185</v>
      </c>
      <c r="D4" s="9">
        <f t="shared" si="0"/>
        <v>2512.75</v>
      </c>
      <c r="E4" s="10">
        <v>4171.05</v>
      </c>
    </row>
    <row r="5" spans="1:5">
      <c r="A5" s="3" t="s">
        <v>4</v>
      </c>
      <c r="B5" s="8">
        <v>0</v>
      </c>
      <c r="C5" s="8">
        <v>3684</v>
      </c>
      <c r="D5" s="9">
        <f t="shared" si="0"/>
        <v>4236.5999999999995</v>
      </c>
      <c r="E5" s="11">
        <v>6302</v>
      </c>
    </row>
    <row r="6" spans="1:5">
      <c r="A6" s="3" t="s">
        <v>5</v>
      </c>
      <c r="B6" s="8">
        <v>1</v>
      </c>
      <c r="C6" s="8">
        <v>3875.2</v>
      </c>
      <c r="D6" s="9">
        <f t="shared" si="0"/>
        <v>4456.4799999999996</v>
      </c>
      <c r="E6" s="11">
        <v>7429</v>
      </c>
    </row>
    <row r="7" spans="1:5">
      <c r="A7" s="3" t="s">
        <v>6</v>
      </c>
      <c r="B7" s="8">
        <v>4</v>
      </c>
      <c r="C7" s="8">
        <v>2850</v>
      </c>
      <c r="D7" s="9">
        <f t="shared" si="0"/>
        <v>3277.4999999999995</v>
      </c>
      <c r="E7" s="11" t="s">
        <v>17</v>
      </c>
    </row>
    <row r="8" spans="1:5">
      <c r="A8" s="3" t="s">
        <v>7</v>
      </c>
      <c r="B8" s="8">
        <v>0</v>
      </c>
      <c r="C8" s="8">
        <v>2473</v>
      </c>
      <c r="D8" s="9">
        <f t="shared" si="0"/>
        <v>2843.95</v>
      </c>
      <c r="E8" s="11">
        <v>3806.5</v>
      </c>
    </row>
    <row r="9" spans="1:5">
      <c r="A9" s="3" t="s">
        <v>19</v>
      </c>
      <c r="B9" s="8">
        <v>1</v>
      </c>
      <c r="C9" s="8">
        <v>5037.21</v>
      </c>
      <c r="D9" s="9">
        <f t="shared" si="0"/>
        <v>5792.7914999999994</v>
      </c>
      <c r="E9" s="11">
        <v>6095.46</v>
      </c>
    </row>
    <row r="10" spans="1:5">
      <c r="A10" s="3" t="s">
        <v>8</v>
      </c>
      <c r="B10" s="8">
        <v>5</v>
      </c>
      <c r="C10" s="8">
        <v>4227.46</v>
      </c>
      <c r="D10" s="9">
        <f t="shared" si="0"/>
        <v>4861.5789999999997</v>
      </c>
      <c r="E10" s="11">
        <v>6467.84</v>
      </c>
    </row>
    <row r="11" spans="1:5">
      <c r="A11" s="3" t="s">
        <v>25</v>
      </c>
      <c r="B11" s="8">
        <v>0</v>
      </c>
      <c r="C11" s="8">
        <v>3556</v>
      </c>
      <c r="D11" s="9">
        <f t="shared" si="0"/>
        <v>4089.3999999999996</v>
      </c>
      <c r="E11" s="11">
        <v>6894.35</v>
      </c>
    </row>
    <row r="12" spans="1:5">
      <c r="A12" s="3" t="s">
        <v>9</v>
      </c>
      <c r="B12" s="8">
        <v>5</v>
      </c>
      <c r="C12" s="8">
        <v>1436.53</v>
      </c>
      <c r="D12" s="9">
        <f t="shared" si="0"/>
        <v>1652.0094999999999</v>
      </c>
      <c r="E12" s="11">
        <v>2335.66</v>
      </c>
    </row>
    <row r="13" spans="1:5">
      <c r="A13" s="3" t="s">
        <v>16</v>
      </c>
      <c r="B13" s="8">
        <v>3</v>
      </c>
      <c r="C13" s="8">
        <v>1797.19</v>
      </c>
      <c r="D13" s="9">
        <f t="shared" si="0"/>
        <v>2066.7684999999997</v>
      </c>
      <c r="E13" s="11">
        <v>2626</v>
      </c>
    </row>
    <row r="14" spans="1:5">
      <c r="A14" s="3" t="s">
        <v>10</v>
      </c>
      <c r="B14" s="8">
        <v>1</v>
      </c>
      <c r="C14" s="8">
        <v>1358.95</v>
      </c>
      <c r="D14" s="9">
        <f t="shared" si="0"/>
        <v>1562.7925</v>
      </c>
      <c r="E14" s="11">
        <v>2060.85</v>
      </c>
    </row>
    <row r="15" spans="1:5">
      <c r="A15" s="3" t="s">
        <v>11</v>
      </c>
      <c r="B15" s="8">
        <v>1</v>
      </c>
      <c r="C15" s="8">
        <v>2460.9499999999998</v>
      </c>
      <c r="D15" s="9">
        <f t="shared" si="0"/>
        <v>2830.0924999999997</v>
      </c>
      <c r="E15" s="11">
        <v>3583.71</v>
      </c>
    </row>
    <row r="16" spans="1:5">
      <c r="A16" s="3" t="s">
        <v>12</v>
      </c>
      <c r="B16" s="8">
        <v>1</v>
      </c>
      <c r="C16" s="8">
        <v>2390.59</v>
      </c>
      <c r="D16" s="9">
        <f t="shared" si="0"/>
        <v>2749.1785</v>
      </c>
      <c r="E16" s="11">
        <v>3286.07</v>
      </c>
    </row>
    <row r="17" spans="1:5">
      <c r="A17" s="3" t="s">
        <v>13</v>
      </c>
      <c r="B17" s="8">
        <v>3</v>
      </c>
      <c r="C17" s="8">
        <v>876</v>
      </c>
      <c r="D17" s="9">
        <f t="shared" si="0"/>
        <v>1007.4</v>
      </c>
      <c r="E17" s="11">
        <v>1277.6500000000001</v>
      </c>
    </row>
    <row r="18" spans="1:5">
      <c r="A18" s="3" t="s">
        <v>15</v>
      </c>
      <c r="B18" s="8">
        <v>1</v>
      </c>
      <c r="C18" s="8">
        <v>526.16</v>
      </c>
      <c r="D18" s="9">
        <f t="shared" si="0"/>
        <v>605.08399999999995</v>
      </c>
      <c r="E18" s="11">
        <v>828.8</v>
      </c>
    </row>
    <row r="19" spans="1:5">
      <c r="A19" s="3" t="s">
        <v>14</v>
      </c>
      <c r="B19" s="8">
        <v>1</v>
      </c>
      <c r="C19" s="8">
        <v>778.08</v>
      </c>
      <c r="D19" s="9">
        <f t="shared" si="0"/>
        <v>894.79200000000003</v>
      </c>
      <c r="E19" s="11">
        <v>894.79</v>
      </c>
    </row>
    <row r="20" spans="1:5">
      <c r="A20" s="3" t="s">
        <v>60</v>
      </c>
      <c r="B20" s="8">
        <v>3</v>
      </c>
      <c r="C20" s="8">
        <v>0</v>
      </c>
      <c r="D20" s="9">
        <f t="shared" si="0"/>
        <v>0</v>
      </c>
      <c r="E20" s="11"/>
    </row>
    <row r="21" spans="1:5">
      <c r="A21" s="3" t="s">
        <v>20</v>
      </c>
      <c r="B21" s="8">
        <v>1</v>
      </c>
      <c r="C21" s="8">
        <v>669.81</v>
      </c>
      <c r="D21" s="9">
        <f>C21*115%</f>
        <v>770.28149999999982</v>
      </c>
      <c r="E21" s="10">
        <v>1483.71</v>
      </c>
    </row>
    <row r="22" spans="1:5">
      <c r="A22" s="3" t="s">
        <v>21</v>
      </c>
      <c r="B22" s="8">
        <v>1</v>
      </c>
      <c r="C22" s="8">
        <v>945</v>
      </c>
      <c r="D22" s="9">
        <f t="shared" ref="D22:D46" si="1">C22*115%</f>
        <v>1086.75</v>
      </c>
      <c r="E22" s="10">
        <v>1546.81</v>
      </c>
    </row>
    <row r="23" spans="1:5">
      <c r="A23" s="3" t="s">
        <v>22</v>
      </c>
      <c r="B23" s="8">
        <v>1</v>
      </c>
      <c r="C23" s="8">
        <v>1080</v>
      </c>
      <c r="D23" s="9">
        <f t="shared" si="1"/>
        <v>1242</v>
      </c>
      <c r="E23" s="10">
        <v>1391.04</v>
      </c>
    </row>
    <row r="24" spans="1:5">
      <c r="A24" s="3" t="s">
        <v>23</v>
      </c>
      <c r="B24" s="8">
        <v>1</v>
      </c>
      <c r="C24" s="8">
        <v>900</v>
      </c>
      <c r="D24" s="9">
        <f t="shared" si="1"/>
        <v>1035</v>
      </c>
      <c r="E24" s="11">
        <v>1159.2</v>
      </c>
    </row>
    <row r="25" spans="1:5">
      <c r="A25" s="3" t="s">
        <v>24</v>
      </c>
      <c r="B25" s="8">
        <v>3</v>
      </c>
      <c r="C25" s="8">
        <v>292</v>
      </c>
      <c r="D25" s="9">
        <f t="shared" si="1"/>
        <v>335.79999999999995</v>
      </c>
      <c r="E25" s="11">
        <v>422.09</v>
      </c>
    </row>
    <row r="26" spans="1:5">
      <c r="A26" s="1" t="s">
        <v>26</v>
      </c>
      <c r="B26" s="8">
        <v>4</v>
      </c>
      <c r="C26" s="8">
        <v>265.5</v>
      </c>
      <c r="D26" s="9">
        <f t="shared" si="1"/>
        <v>305.32499999999999</v>
      </c>
      <c r="E26" s="11">
        <v>374.67</v>
      </c>
    </row>
    <row r="27" spans="1:5">
      <c r="A27" s="1" t="s">
        <v>27</v>
      </c>
      <c r="B27" s="8">
        <v>2</v>
      </c>
      <c r="C27" s="8">
        <v>260.10000000000002</v>
      </c>
      <c r="D27" s="9">
        <f t="shared" si="1"/>
        <v>299.11500000000001</v>
      </c>
      <c r="E27" s="11">
        <v>470.92</v>
      </c>
    </row>
    <row r="28" spans="1:5">
      <c r="A28" s="1" t="s">
        <v>28</v>
      </c>
      <c r="B28" s="8">
        <v>2</v>
      </c>
      <c r="C28" s="8">
        <v>359.1</v>
      </c>
      <c r="D28" s="9">
        <f t="shared" si="1"/>
        <v>412.96499999999997</v>
      </c>
      <c r="E28" s="11">
        <v>703.8</v>
      </c>
    </row>
    <row r="29" spans="1:5">
      <c r="A29" s="1" t="s">
        <v>29</v>
      </c>
      <c r="B29" s="8">
        <v>0</v>
      </c>
      <c r="C29" s="8">
        <v>359.62</v>
      </c>
      <c r="D29" s="9">
        <f t="shared" si="1"/>
        <v>413.56299999999999</v>
      </c>
      <c r="E29" s="11">
        <v>615.82000000000005</v>
      </c>
    </row>
    <row r="30" spans="1:5">
      <c r="A30" s="1" t="s">
        <v>30</v>
      </c>
      <c r="B30" s="8">
        <v>3</v>
      </c>
      <c r="C30" s="8">
        <v>449.1</v>
      </c>
      <c r="D30" s="9">
        <f t="shared" si="1"/>
        <v>516.46500000000003</v>
      </c>
      <c r="E30" s="11">
        <v>516.47</v>
      </c>
    </row>
    <row r="31" spans="1:5">
      <c r="A31" s="1" t="s">
        <v>31</v>
      </c>
      <c r="B31" s="8">
        <v>2</v>
      </c>
      <c r="C31" s="8">
        <v>506</v>
      </c>
      <c r="D31" s="9">
        <f t="shared" si="1"/>
        <v>581.9</v>
      </c>
      <c r="E31" s="11">
        <v>883.2</v>
      </c>
    </row>
    <row r="32" spans="1:5">
      <c r="A32" s="1" t="s">
        <v>32</v>
      </c>
      <c r="B32" s="8">
        <v>2</v>
      </c>
      <c r="C32" s="8">
        <v>503.59</v>
      </c>
      <c r="D32" s="9">
        <f t="shared" si="1"/>
        <v>579.12849999999992</v>
      </c>
      <c r="E32" s="11">
        <v>902.75</v>
      </c>
    </row>
    <row r="33" spans="1:5">
      <c r="A33" s="1" t="s">
        <v>33</v>
      </c>
      <c r="B33" s="8">
        <v>2</v>
      </c>
      <c r="C33" s="8">
        <v>385.98</v>
      </c>
      <c r="D33" s="9">
        <f t="shared" si="1"/>
        <v>443.87700000000001</v>
      </c>
      <c r="E33" s="11" t="s">
        <v>17</v>
      </c>
    </row>
    <row r="34" spans="1:5">
      <c r="A34" s="1" t="s">
        <v>34</v>
      </c>
      <c r="B34" s="8">
        <v>2</v>
      </c>
      <c r="C34" s="8">
        <v>400</v>
      </c>
      <c r="D34" s="9">
        <f t="shared" si="1"/>
        <v>459.99999999999994</v>
      </c>
      <c r="E34" s="11">
        <v>869.4</v>
      </c>
    </row>
    <row r="35" spans="1:5">
      <c r="A35" s="1" t="s">
        <v>35</v>
      </c>
      <c r="B35" s="8">
        <v>4</v>
      </c>
      <c r="C35" s="8">
        <v>890.44</v>
      </c>
      <c r="D35" s="9">
        <f t="shared" si="1"/>
        <v>1024.0060000000001</v>
      </c>
      <c r="E35" s="11">
        <v>1138.5</v>
      </c>
    </row>
    <row r="36" spans="1:5">
      <c r="A36" s="2" t="s">
        <v>36</v>
      </c>
      <c r="B36" s="8">
        <v>0</v>
      </c>
      <c r="C36" s="8">
        <v>1100</v>
      </c>
      <c r="D36" s="9">
        <f t="shared" si="1"/>
        <v>1265</v>
      </c>
      <c r="E36" s="11">
        <v>1714.65</v>
      </c>
    </row>
    <row r="37" spans="1:5">
      <c r="A37" s="3" t="s">
        <v>37</v>
      </c>
      <c r="B37" s="8">
        <v>4</v>
      </c>
      <c r="C37" s="8">
        <v>356.4</v>
      </c>
      <c r="D37" s="9">
        <f t="shared" si="1"/>
        <v>409.85999999999996</v>
      </c>
      <c r="E37" s="11">
        <v>624.01</v>
      </c>
    </row>
    <row r="38" spans="1:5">
      <c r="A38" s="3" t="s">
        <v>38</v>
      </c>
      <c r="B38" s="8">
        <v>3</v>
      </c>
      <c r="C38" s="8">
        <v>348.3</v>
      </c>
      <c r="D38" s="9">
        <f t="shared" si="1"/>
        <v>400.54499999999996</v>
      </c>
      <c r="E38" s="11">
        <v>612.88</v>
      </c>
    </row>
    <row r="39" spans="1:5">
      <c r="A39" s="3" t="s">
        <v>39</v>
      </c>
      <c r="B39" s="8">
        <v>0</v>
      </c>
      <c r="C39" s="8">
        <v>486</v>
      </c>
      <c r="D39" s="9">
        <f t="shared" si="1"/>
        <v>558.9</v>
      </c>
      <c r="E39" s="11">
        <v>747.5</v>
      </c>
    </row>
    <row r="40" spans="1:5">
      <c r="A40" s="3" t="s">
        <v>46</v>
      </c>
      <c r="B40" s="8">
        <v>4</v>
      </c>
      <c r="C40" s="8">
        <v>495</v>
      </c>
      <c r="D40" s="9">
        <f t="shared" si="1"/>
        <v>569.25</v>
      </c>
      <c r="E40" s="11">
        <v>879.75</v>
      </c>
    </row>
    <row r="41" spans="1:5">
      <c r="A41" s="3" t="s">
        <v>40</v>
      </c>
      <c r="B41" s="8">
        <v>4</v>
      </c>
      <c r="C41" s="8">
        <v>319.5</v>
      </c>
      <c r="D41" s="9">
        <f t="shared" si="1"/>
        <v>367.42499999999995</v>
      </c>
      <c r="E41" s="11">
        <v>708.97</v>
      </c>
    </row>
    <row r="42" spans="1:5">
      <c r="A42" s="3" t="s">
        <v>41</v>
      </c>
      <c r="B42" s="8">
        <v>3</v>
      </c>
      <c r="C42" s="8">
        <v>355.4</v>
      </c>
      <c r="D42" s="9">
        <f t="shared" si="1"/>
        <v>408.70999999999992</v>
      </c>
      <c r="E42" s="11">
        <v>750.57</v>
      </c>
    </row>
    <row r="43" spans="1:5">
      <c r="A43" s="3" t="s">
        <v>42</v>
      </c>
      <c r="B43" s="8">
        <v>4</v>
      </c>
      <c r="C43" s="8">
        <v>498</v>
      </c>
      <c r="D43" s="9">
        <f t="shared" si="1"/>
        <v>572.69999999999993</v>
      </c>
      <c r="E43" s="11">
        <v>877.43</v>
      </c>
    </row>
    <row r="44" spans="1:5">
      <c r="A44" s="3" t="s">
        <v>43</v>
      </c>
      <c r="B44" s="8">
        <v>2</v>
      </c>
      <c r="C44" s="8">
        <v>394.11</v>
      </c>
      <c r="D44" s="9">
        <f t="shared" si="1"/>
        <v>453.22649999999999</v>
      </c>
      <c r="E44" s="11">
        <v>568.22</v>
      </c>
    </row>
    <row r="45" spans="1:5">
      <c r="A45" s="3" t="s">
        <v>44</v>
      </c>
      <c r="B45" s="11">
        <v>1</v>
      </c>
      <c r="C45" s="10">
        <v>258.3</v>
      </c>
      <c r="D45" s="10">
        <f t="shared" si="1"/>
        <v>297.04500000000002</v>
      </c>
      <c r="E45" s="10">
        <v>470.92</v>
      </c>
    </row>
    <row r="46" spans="1:5">
      <c r="A46" s="3" t="s">
        <v>45</v>
      </c>
      <c r="B46" s="11">
        <v>4</v>
      </c>
      <c r="C46" s="10">
        <v>331.52</v>
      </c>
      <c r="D46" s="10">
        <f t="shared" si="1"/>
        <v>381.24799999999993</v>
      </c>
      <c r="E46" s="10">
        <v>608.87</v>
      </c>
    </row>
    <row r="47" spans="1:5">
      <c r="A47" s="3" t="s">
        <v>47</v>
      </c>
      <c r="B47" s="9">
        <v>0</v>
      </c>
      <c r="C47" s="8">
        <v>1473.64</v>
      </c>
      <c r="D47" s="12">
        <v>1934.56</v>
      </c>
      <c r="E47" s="10" t="s">
        <v>48</v>
      </c>
    </row>
    <row r="48" spans="1:5">
      <c r="A48" s="3" t="s">
        <v>49</v>
      </c>
      <c r="B48" s="11">
        <v>0</v>
      </c>
      <c r="C48" s="10">
        <v>184.79</v>
      </c>
      <c r="D48" s="10">
        <v>230.99</v>
      </c>
      <c r="E48" s="10" t="s">
        <v>50</v>
      </c>
    </row>
    <row r="49" spans="1:5">
      <c r="A49" s="7" t="s">
        <v>51</v>
      </c>
      <c r="B49" s="11">
        <v>7</v>
      </c>
      <c r="C49" s="10">
        <v>233.87</v>
      </c>
      <c r="D49" s="10">
        <v>304.04000000000002</v>
      </c>
      <c r="E49" s="10" t="s">
        <v>48</v>
      </c>
    </row>
    <row r="50" spans="1:5">
      <c r="A50" s="7" t="s">
        <v>52</v>
      </c>
      <c r="B50" s="11">
        <v>3</v>
      </c>
      <c r="C50" s="10">
        <v>488.43</v>
      </c>
      <c r="D50" s="10">
        <v>641.5</v>
      </c>
      <c r="E50" s="10" t="s">
        <v>48</v>
      </c>
    </row>
    <row r="51" spans="1:5">
      <c r="A51" s="7" t="s">
        <v>53</v>
      </c>
      <c r="B51" s="11">
        <v>3</v>
      </c>
      <c r="C51" s="10">
        <v>259.60000000000002</v>
      </c>
      <c r="D51" s="10">
        <v>337.5</v>
      </c>
      <c r="E51" s="10" t="s">
        <v>48</v>
      </c>
    </row>
    <row r="52" spans="1:5">
      <c r="A52" s="7" t="s">
        <v>54</v>
      </c>
      <c r="B52" s="11">
        <v>3</v>
      </c>
      <c r="C52" s="10">
        <v>275.02999999999997</v>
      </c>
      <c r="D52" s="10">
        <v>357.53</v>
      </c>
      <c r="E52" s="10" t="s">
        <v>48</v>
      </c>
    </row>
    <row r="53" spans="1:5">
      <c r="A53" s="7" t="s">
        <v>55</v>
      </c>
      <c r="B53" s="11">
        <v>1</v>
      </c>
      <c r="C53" s="10">
        <v>278.39999999999998</v>
      </c>
      <c r="D53" s="10">
        <v>391.92</v>
      </c>
      <c r="E53" s="10" t="s">
        <v>48</v>
      </c>
    </row>
    <row r="54" spans="1:5">
      <c r="A54" s="7" t="s">
        <v>56</v>
      </c>
      <c r="B54" s="11">
        <v>9</v>
      </c>
      <c r="C54" s="10">
        <v>215.48</v>
      </c>
      <c r="D54" s="10">
        <v>280.12</v>
      </c>
      <c r="E54" s="10" t="s">
        <v>48</v>
      </c>
    </row>
    <row r="55" spans="1:5">
      <c r="A55" s="7" t="s">
        <v>61</v>
      </c>
      <c r="B55" s="11">
        <v>16</v>
      </c>
      <c r="C55" s="10">
        <v>111.04</v>
      </c>
      <c r="D55" s="10">
        <v>144.35</v>
      </c>
      <c r="E55" s="10" t="s">
        <v>48</v>
      </c>
    </row>
    <row r="56" spans="1:5">
      <c r="A56" s="7" t="s">
        <v>57</v>
      </c>
      <c r="B56" s="11">
        <v>16</v>
      </c>
      <c r="C56" s="10">
        <v>229.33</v>
      </c>
      <c r="D56" s="10">
        <v>298.12</v>
      </c>
      <c r="E56" s="10" t="s">
        <v>48</v>
      </c>
    </row>
    <row r="57" spans="1:5">
      <c r="A57" s="7" t="s">
        <v>58</v>
      </c>
      <c r="B57" s="11">
        <v>0</v>
      </c>
      <c r="C57" s="10">
        <v>2448.38</v>
      </c>
      <c r="D57" s="10">
        <v>3182.89</v>
      </c>
      <c r="E57" s="10" t="s">
        <v>48</v>
      </c>
    </row>
    <row r="58" spans="1:5">
      <c r="A58" s="7" t="s">
        <v>59</v>
      </c>
      <c r="B58" s="11">
        <v>1</v>
      </c>
      <c r="C58" s="11">
        <v>1516</v>
      </c>
      <c r="D58" s="10">
        <v>1982.77</v>
      </c>
      <c r="E58" s="10" t="s">
        <v>48</v>
      </c>
    </row>
    <row r="59" spans="1:5">
      <c r="A59" s="15" t="s">
        <v>62</v>
      </c>
      <c r="B59" s="10">
        <v>2</v>
      </c>
      <c r="C59" s="10">
        <v>5079.33</v>
      </c>
      <c r="D59" s="10">
        <v>5899.25</v>
      </c>
      <c r="E59" s="10" t="s">
        <v>63</v>
      </c>
    </row>
    <row r="60" spans="1:5">
      <c r="A60" s="15" t="s">
        <v>64</v>
      </c>
      <c r="B60" s="10">
        <v>4</v>
      </c>
      <c r="C60" s="10">
        <v>4916.04</v>
      </c>
      <c r="D60" s="10">
        <v>6200</v>
      </c>
      <c r="E60" s="10" t="s">
        <v>65</v>
      </c>
    </row>
    <row r="61" spans="1:5">
      <c r="A61" s="15" t="s">
        <v>66</v>
      </c>
      <c r="B61" s="10">
        <v>2</v>
      </c>
      <c r="C61" s="10">
        <v>4455.08</v>
      </c>
      <c r="D61" s="10">
        <v>5400</v>
      </c>
      <c r="E61" s="10" t="s">
        <v>67</v>
      </c>
    </row>
    <row r="62" spans="1:5">
      <c r="A62" s="15" t="s">
        <v>68</v>
      </c>
      <c r="B62" s="10">
        <v>2</v>
      </c>
      <c r="C62" s="10">
        <v>3859.29</v>
      </c>
      <c r="D62" s="10">
        <v>5017.1000000000004</v>
      </c>
      <c r="E62" s="10" t="s">
        <v>48</v>
      </c>
    </row>
    <row r="63" spans="1:5">
      <c r="A63" s="15" t="s">
        <v>69</v>
      </c>
      <c r="B63" s="10">
        <v>7</v>
      </c>
      <c r="C63" s="10">
        <v>5199.8599999999997</v>
      </c>
      <c r="D63" s="10">
        <v>5980</v>
      </c>
      <c r="E63" s="10" t="s">
        <v>70</v>
      </c>
    </row>
    <row r="64" spans="1:5">
      <c r="A64" s="15" t="s">
        <v>71</v>
      </c>
      <c r="B64" s="10">
        <v>6</v>
      </c>
      <c r="C64" s="10">
        <v>5079.3999999999996</v>
      </c>
      <c r="D64" s="10">
        <v>5980</v>
      </c>
      <c r="E64" s="10" t="s">
        <v>72</v>
      </c>
    </row>
    <row r="65" spans="1:5">
      <c r="A65" s="15" t="s">
        <v>73</v>
      </c>
      <c r="B65" s="10">
        <v>2</v>
      </c>
      <c r="C65" s="10">
        <v>2735.68</v>
      </c>
      <c r="D65" s="10">
        <v>3556.4</v>
      </c>
      <c r="E65" s="10" t="s">
        <v>48</v>
      </c>
    </row>
    <row r="66" spans="1:5">
      <c r="A66" s="15" t="s">
        <v>74</v>
      </c>
      <c r="B66" s="10">
        <v>1</v>
      </c>
      <c r="C66" s="10">
        <v>4399.7</v>
      </c>
      <c r="D66" s="10">
        <v>5719.61</v>
      </c>
      <c r="E66" s="10" t="s">
        <v>48</v>
      </c>
    </row>
    <row r="67" spans="1:5">
      <c r="A67" s="14"/>
      <c r="B67" s="13"/>
      <c r="C67" s="13"/>
      <c r="D67" s="13"/>
      <c r="E67" s="13"/>
    </row>
    <row r="68" spans="1:5">
      <c r="A68" s="14"/>
      <c r="B68" s="13"/>
      <c r="C68" s="13"/>
      <c r="D68" s="13"/>
      <c r="E68" s="13"/>
    </row>
    <row r="69" spans="1:5">
      <c r="A69" s="14"/>
      <c r="B69" s="13"/>
      <c r="C69" s="13"/>
      <c r="D69" s="13"/>
      <c r="E69" s="13"/>
    </row>
    <row r="70" spans="1:5">
      <c r="A70" s="14"/>
      <c r="B70" s="13"/>
      <c r="C70" s="13"/>
      <c r="D70" s="13"/>
      <c r="E70" s="13"/>
    </row>
    <row r="71" spans="1:5">
      <c r="A71" s="14"/>
      <c r="B71" s="13"/>
      <c r="C71" s="13"/>
      <c r="D71" s="13"/>
      <c r="E71" s="13"/>
    </row>
  </sheetData>
  <dataValidations count="1">
    <dataValidation type="list" allowBlank="1" showInputMessage="1" showErrorMessage="1" sqref="D47 D2:D44">
      <formula1>DvListSource2</formula1>
    </dataValidation>
  </dataValidation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EN-GROSS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Calin</cp:lastModifiedBy>
  <cp:lastPrinted>2026-08-10T11:13:02Z</cp:lastPrinted>
  <dcterms:created xsi:type="dcterms:W3CDTF">2021-05-27T15:02:29Z</dcterms:created>
  <dcterms:modified xsi:type="dcterms:W3CDTF">2026-08-10T12:34:29Z</dcterms:modified>
</cp:coreProperties>
</file>