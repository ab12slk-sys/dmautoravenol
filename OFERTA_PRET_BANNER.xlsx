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3250" windowHeight="12450"/>
  </bookViews>
  <sheets>
    <sheet name="RETAIL" sheetId="1" r:id="rId1"/>
    <sheet name="EN-GROSS" sheetId="2" r:id="rId2"/>
  </sheets>
  <externalReferences>
    <externalReference r:id="rId3"/>
  </externalReferences>
  <definedNames>
    <definedName name="_xlnm._FilterDatabase" localSheetId="0" hidden="1">RETAIL!$A$5</definedName>
    <definedName name="DvListSource1">[1]Sheet2!$C$1:$C$38</definedName>
    <definedName name="DvListSource2">[1]Sheet2!$G$1:$G$8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7" i="1"/>
  <c r="C37" i="2"/>
  <c r="C9" i="1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9" i="2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7"/>
  <c r="C7" i="1"/>
</calcChain>
</file>

<file path=xl/sharedStrings.xml><?xml version="1.0" encoding="utf-8"?>
<sst xmlns="http://schemas.openxmlformats.org/spreadsheetml/2006/main" count="206" uniqueCount="45">
  <si>
    <t>BUC</t>
  </si>
  <si>
    <t>RON</t>
  </si>
  <si>
    <t>Denumire</t>
  </si>
  <si>
    <t>Pret fara TVA</t>
  </si>
  <si>
    <t>Valuta</t>
  </si>
  <si>
    <t>BATERIE BANNER AGM 57001</t>
  </si>
  <si>
    <t>BATERIE BANNER AGM 58001</t>
  </si>
  <si>
    <t>BATERIE BANNER AGM 59201</t>
  </si>
  <si>
    <t>BATERIE BANNER EFB 56511</t>
  </si>
  <si>
    <t>BATERIE BANNER EFB 57511</t>
  </si>
  <si>
    <t>BATERIE BANNER P5003</t>
  </si>
  <si>
    <t>BATERIE BANNER P7412</t>
  </si>
  <si>
    <t>BATERIE BANNER P7740</t>
  </si>
  <si>
    <t>BATERIE BANNER P9504</t>
  </si>
  <si>
    <t>BATERIE BANNER P9505</t>
  </si>
  <si>
    <t>BATERIE BANNER P10040</t>
  </si>
  <si>
    <t>BATERIE BANNER 55519</t>
  </si>
  <si>
    <t>BATERIE BANNER 56219</t>
  </si>
  <si>
    <t>BATERIE BANNER 57044</t>
  </si>
  <si>
    <t>BATERIE BANNER 57212</t>
  </si>
  <si>
    <t>BATERIE BANNER 72503</t>
  </si>
  <si>
    <t>BATERIE BANNER 68008</t>
  </si>
  <si>
    <t>BATERIE BANNER 74017</t>
  </si>
  <si>
    <t>BATERIE BANNER 69017</t>
  </si>
  <si>
    <t>BATERIE BANNER 65001</t>
  </si>
  <si>
    <t>BATERIE BANNER 60501</t>
  </si>
  <si>
    <t>BATERIE BANNER P4409</t>
  </si>
  <si>
    <t>BATERIE BANNER 51400 AUX 14</t>
  </si>
  <si>
    <t xml:space="preserve">UM </t>
  </si>
  <si>
    <t>Pret cu TVA</t>
  </si>
  <si>
    <t>DOMENIILE MOCEAN SRL</t>
  </si>
  <si>
    <t>RETAIL</t>
  </si>
  <si>
    <t>EG</t>
  </si>
  <si>
    <t>BATERIE BANNER P8014</t>
  </si>
  <si>
    <t>BATERIE BANNER EFB 57512</t>
  </si>
  <si>
    <t>BATERIE BANNER P6340</t>
  </si>
  <si>
    <t>BATERIE BANNER 59501</t>
  </si>
  <si>
    <t>BATERIE BANNER 54409</t>
  </si>
  <si>
    <t>BATERIE BANNER AGM 51012 BTX 12-BS</t>
  </si>
  <si>
    <t>BATERIE BANNER AGM 51214 BTX 14-BS</t>
  </si>
  <si>
    <t>TVA 21%</t>
  </si>
  <si>
    <t xml:space="preserve">OFERTA BANNER </t>
  </si>
  <si>
    <t>12.08.2025</t>
  </si>
  <si>
    <t>OFERTA BANNER</t>
  </si>
  <si>
    <t>BATERIE BANNER P11040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</si>
</sst>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b/>
      <sz val="14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vertical="center"/>
    </xf>
    <xf numFmtId="1" fontId="1" fillId="0" borderId="1" xfId="0" applyNumberFormat="1" applyFont="1" applyBorder="1" applyAlignment="1">
      <alignment vertical="center"/>
    </xf>
    <xf numFmtId="4" fontId="1" fillId="0" borderId="1" xfId="0" applyNumberFormat="1" applyFont="1" applyBorder="1" applyAlignment="1">
      <alignment vertical="center"/>
    </xf>
    <xf numFmtId="4" fontId="1" fillId="0" borderId="2" xfId="0" applyNumberFormat="1" applyFont="1" applyBorder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vertical="center"/>
    </xf>
    <xf numFmtId="1" fontId="1" fillId="0" borderId="2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" fontId="1" fillId="0" borderId="3" xfId="0" applyNumberFormat="1" applyFont="1" applyBorder="1" applyAlignment="1">
      <alignment vertical="center"/>
    </xf>
    <xf numFmtId="4" fontId="1" fillId="0" borderId="3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0" borderId="0" xfId="0" applyFont="1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1" fontId="1" fillId="0" borderId="6" xfId="0" applyNumberFormat="1" applyFont="1" applyBorder="1" applyAlignment="1">
      <alignment vertical="center"/>
    </xf>
    <xf numFmtId="0" fontId="0" fillId="0" borderId="3" xfId="0" applyBorder="1"/>
    <xf numFmtId="0" fontId="6" fillId="0" borderId="0" xfId="0" applyFont="1" applyAlignment="1">
      <alignment horizont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vertical="center"/>
    </xf>
    <xf numFmtId="2" fontId="0" fillId="0" borderId="3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DM_06.05.2021_Preturi%20agenti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"/>
      <sheetName val="Sheet2"/>
    </sheetNames>
    <sheetDataSet>
      <sheetData sheetId="0" refreshError="1"/>
      <sheetData sheetId="1">
        <row r="1">
          <cell r="C1" t="str">
            <v>BUC</v>
          </cell>
          <cell r="G1" t="str">
            <v>RON</v>
          </cell>
        </row>
        <row r="2">
          <cell r="C2" t="str">
            <v>TOP</v>
          </cell>
          <cell r="G2" t="str">
            <v>USD</v>
          </cell>
        </row>
        <row r="3">
          <cell r="C3" t="str">
            <v>Bax</v>
          </cell>
          <cell r="G3" t="str">
            <v>EUR</v>
          </cell>
        </row>
        <row r="4">
          <cell r="C4" t="str">
            <v>CUTIE</v>
          </cell>
          <cell r="G4" t="str">
            <v>ROL</v>
          </cell>
        </row>
        <row r="5">
          <cell r="C5" t="str">
            <v>KG</v>
          </cell>
          <cell r="G5" t="str">
            <v>SEK</v>
          </cell>
        </row>
        <row r="6">
          <cell r="C6" t="str">
            <v>LITRU</v>
          </cell>
          <cell r="G6" t="str">
            <v>CHF</v>
          </cell>
        </row>
        <row r="7">
          <cell r="C7" t="str">
            <v>BIDON</v>
          </cell>
          <cell r="G7" t="str">
            <v>GBP</v>
          </cell>
        </row>
        <row r="8">
          <cell r="C8" t="str">
            <v>CANISTRA</v>
          </cell>
          <cell r="G8" t="str">
            <v>PMK</v>
          </cell>
        </row>
        <row r="9">
          <cell r="C9" t="str">
            <v>CARNET</v>
          </cell>
        </row>
        <row r="10">
          <cell r="C10" t="str">
            <v>FLACON</v>
          </cell>
        </row>
        <row r="11">
          <cell r="C11" t="str">
            <v>FOLIE</v>
          </cell>
        </row>
        <row r="12">
          <cell r="C12" t="str">
            <v>PG</v>
          </cell>
        </row>
        <row r="13">
          <cell r="C13" t="str">
            <v>PLIC</v>
          </cell>
        </row>
        <row r="14">
          <cell r="C14" t="str">
            <v>PUNGA</v>
          </cell>
        </row>
        <row r="15">
          <cell r="C15" t="str">
            <v>ROLA</v>
          </cell>
        </row>
        <row r="16">
          <cell r="C16" t="str">
            <v>SAC</v>
          </cell>
        </row>
        <row r="17">
          <cell r="C17" t="str">
            <v>SER</v>
          </cell>
        </row>
        <row r="18">
          <cell r="C18" t="str">
            <v>SET</v>
          </cell>
        </row>
        <row r="19">
          <cell r="C19" t="str">
            <v>-</v>
          </cell>
        </row>
        <row r="20">
          <cell r="C20" t="str">
            <v>BLISTER</v>
          </cell>
        </row>
        <row r="21">
          <cell r="C21" t="str">
            <v>BORCAN</v>
          </cell>
        </row>
        <row r="22">
          <cell r="C22" t="str">
            <v>DOZA</v>
          </cell>
        </row>
        <row r="23">
          <cell r="C23" t="str">
            <v>FIOLA</v>
          </cell>
        </row>
        <row r="24">
          <cell r="C24" t="str">
            <v>GR</v>
          </cell>
        </row>
        <row r="25">
          <cell r="C25" t="str">
            <v>ML</v>
          </cell>
        </row>
        <row r="26">
          <cell r="C26" t="str">
            <v>PACHET</v>
          </cell>
        </row>
        <row r="27">
          <cell r="C27" t="str">
            <v>PERECHE</v>
          </cell>
        </row>
        <row r="28">
          <cell r="C28" t="str">
            <v>PLIANT</v>
          </cell>
        </row>
        <row r="29">
          <cell r="C29" t="str">
            <v>SUL</v>
          </cell>
        </row>
        <row r="30">
          <cell r="C30" t="str">
            <v>TRUSA</v>
          </cell>
        </row>
        <row r="31">
          <cell r="C31" t="str">
            <v>TUB</v>
          </cell>
        </row>
        <row r="32">
          <cell r="C32" t="str">
            <v>CARTUS</v>
          </cell>
        </row>
        <row r="33">
          <cell r="C33" t="str">
            <v>KIT</v>
          </cell>
        </row>
        <row r="34">
          <cell r="C34" t="str">
            <v>mg</v>
          </cell>
        </row>
        <row r="35">
          <cell r="C35" t="str">
            <v>MP</v>
          </cell>
        </row>
        <row r="36">
          <cell r="C36" t="str">
            <v>MC</v>
          </cell>
        </row>
        <row r="37">
          <cell r="C37" t="str">
            <v>to</v>
          </cell>
        </row>
        <row r="38">
          <cell r="C38" t="str">
            <v>Ora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0"/>
  <sheetViews>
    <sheetView tabSelected="1" topLeftCell="A4" workbookViewId="0">
      <selection activeCell="C25" sqref="C25"/>
    </sheetView>
  </sheetViews>
  <sheetFormatPr defaultRowHeight="15"/>
  <cols>
    <col min="1" max="1" width="28.85546875" customWidth="1"/>
    <col min="2" max="2" width="8.140625" customWidth="1"/>
    <col min="3" max="3" width="15.140625" customWidth="1"/>
    <col min="4" max="4" width="14.7109375" customWidth="1"/>
    <col min="7" max="7" width="26.28515625" hidden="1" customWidth="1"/>
    <col min="8" max="8" width="5.7109375" customWidth="1"/>
    <col min="9" max="9" width="12.85546875" customWidth="1"/>
  </cols>
  <sheetData>
    <row r="1" spans="1:12" s="19" customFormat="1" ht="23.25">
      <c r="A1" s="19" t="s">
        <v>30</v>
      </c>
      <c r="D1" s="19" t="s">
        <v>31</v>
      </c>
    </row>
    <row r="3" spans="1:12" s="20" customFormat="1" ht="18.75">
      <c r="B3" s="20" t="s">
        <v>41</v>
      </c>
      <c r="D3" s="20" t="s">
        <v>42</v>
      </c>
    </row>
    <row r="4" spans="1:12" s="16" customFormat="1" ht="21">
      <c r="A4" s="18"/>
      <c r="B4" s="18"/>
      <c r="C4" s="18"/>
      <c r="D4" s="18"/>
      <c r="E4" s="18"/>
      <c r="F4" s="18"/>
      <c r="G4" s="17"/>
      <c r="H4" s="17"/>
      <c r="I4" s="17"/>
      <c r="J4" s="17"/>
      <c r="K4" s="17"/>
    </row>
    <row r="5" spans="1:12" ht="18.75">
      <c r="A5" s="13" t="s">
        <v>2</v>
      </c>
      <c r="B5" s="13" t="s">
        <v>28</v>
      </c>
      <c r="C5" s="13" t="s">
        <v>3</v>
      </c>
      <c r="D5" s="14" t="s">
        <v>29</v>
      </c>
      <c r="E5" s="15" t="s">
        <v>4</v>
      </c>
      <c r="F5" s="15"/>
      <c r="G5" s="6"/>
      <c r="H5" s="7"/>
      <c r="I5" s="5"/>
      <c r="J5" s="5"/>
      <c r="K5" s="7"/>
      <c r="L5" s="7"/>
    </row>
    <row r="6" spans="1:12">
      <c r="A6" s="8"/>
      <c r="B6" s="9"/>
      <c r="C6" s="4"/>
      <c r="D6" s="25" t="s">
        <v>40</v>
      </c>
      <c r="E6" s="11"/>
      <c r="F6" s="11"/>
      <c r="G6" s="6"/>
      <c r="H6" s="7"/>
      <c r="I6" s="5"/>
      <c r="J6" s="5"/>
      <c r="K6" s="7"/>
      <c r="L6" s="7"/>
    </row>
    <row r="7" spans="1:12">
      <c r="A7" s="10" t="s">
        <v>5</v>
      </c>
      <c r="B7" s="11" t="s">
        <v>0</v>
      </c>
      <c r="C7" s="12">
        <f>D7/1.21</f>
        <v>681.81818181818187</v>
      </c>
      <c r="D7" s="12">
        <v>825</v>
      </c>
      <c r="E7" s="11" t="s">
        <v>1</v>
      </c>
      <c r="F7" s="11"/>
      <c r="G7" s="12">
        <v>648</v>
      </c>
      <c r="H7" s="7"/>
      <c r="I7" s="5"/>
      <c r="J7" s="5"/>
      <c r="K7" s="7"/>
      <c r="L7" s="7"/>
    </row>
    <row r="8" spans="1:12">
      <c r="A8" s="10" t="s">
        <v>6</v>
      </c>
      <c r="B8" s="11" t="s">
        <v>0</v>
      </c>
      <c r="C8" s="12">
        <v>742.14</v>
      </c>
      <c r="D8" s="12">
        <v>898</v>
      </c>
      <c r="E8" s="11" t="s">
        <v>1</v>
      </c>
      <c r="F8" s="11"/>
      <c r="G8" s="12">
        <v>715.42</v>
      </c>
      <c r="H8" s="6"/>
      <c r="I8" s="7"/>
      <c r="J8" s="5"/>
      <c r="K8" s="5"/>
      <c r="L8" s="7"/>
    </row>
    <row r="9" spans="1:12">
      <c r="A9" s="10" t="s">
        <v>7</v>
      </c>
      <c r="B9" s="11" t="s">
        <v>0</v>
      </c>
      <c r="C9" s="12">
        <f t="shared" ref="C9:C37" si="0">D9/1.21</f>
        <v>859.50413223140504</v>
      </c>
      <c r="D9" s="12">
        <v>1040</v>
      </c>
      <c r="E9" s="11" t="s">
        <v>1</v>
      </c>
      <c r="F9" s="11"/>
      <c r="G9" s="12">
        <v>818.84</v>
      </c>
      <c r="H9" s="6"/>
      <c r="I9" s="7"/>
      <c r="J9" s="5"/>
      <c r="K9" s="5"/>
      <c r="L9" s="7"/>
    </row>
    <row r="10" spans="1:12">
      <c r="A10" s="10" t="s">
        <v>8</v>
      </c>
      <c r="B10" s="11" t="s">
        <v>0</v>
      </c>
      <c r="C10" s="12">
        <f t="shared" si="0"/>
        <v>442.14876033057851</v>
      </c>
      <c r="D10" s="12">
        <v>535</v>
      </c>
      <c r="E10" s="11" t="s">
        <v>1</v>
      </c>
      <c r="F10" s="11"/>
      <c r="G10" s="12">
        <v>421.53</v>
      </c>
      <c r="H10" s="6"/>
      <c r="I10" s="7"/>
      <c r="J10" s="5"/>
      <c r="K10" s="5"/>
      <c r="L10" s="7"/>
    </row>
    <row r="11" spans="1:12">
      <c r="A11" s="10" t="s">
        <v>9</v>
      </c>
      <c r="B11" s="11" t="s">
        <v>0</v>
      </c>
      <c r="C11" s="12">
        <f t="shared" si="0"/>
        <v>512.39669421487599</v>
      </c>
      <c r="D11" s="12">
        <v>620</v>
      </c>
      <c r="E11" s="11" t="s">
        <v>1</v>
      </c>
      <c r="F11" s="11"/>
      <c r="G11" s="12">
        <v>487.64</v>
      </c>
      <c r="H11" s="6"/>
      <c r="I11" s="7"/>
      <c r="J11" s="5"/>
      <c r="K11" s="5"/>
      <c r="L11" s="7"/>
    </row>
    <row r="12" spans="1:12">
      <c r="A12" s="10" t="s">
        <v>34</v>
      </c>
      <c r="B12" s="11" t="s">
        <v>0</v>
      </c>
      <c r="C12" s="12">
        <f t="shared" si="0"/>
        <v>584.29752066115702</v>
      </c>
      <c r="D12" s="12">
        <v>707</v>
      </c>
      <c r="E12" s="11" t="s">
        <v>1</v>
      </c>
      <c r="F12" s="11"/>
      <c r="G12" s="12">
        <v>555.71</v>
      </c>
      <c r="H12" s="6"/>
      <c r="I12" s="7"/>
      <c r="J12" s="5"/>
      <c r="K12" s="5"/>
      <c r="L12" s="7"/>
    </row>
    <row r="13" spans="1:12">
      <c r="A13" s="10" t="s">
        <v>10</v>
      </c>
      <c r="B13" s="11" t="s">
        <v>0</v>
      </c>
      <c r="C13" s="12">
        <f t="shared" si="0"/>
        <v>301.65289256198349</v>
      </c>
      <c r="D13" s="12">
        <v>365</v>
      </c>
      <c r="E13" s="11" t="s">
        <v>1</v>
      </c>
      <c r="F13" s="11"/>
      <c r="G13" s="12">
        <v>286.04000000000002</v>
      </c>
    </row>
    <row r="14" spans="1:12">
      <c r="A14" s="10" t="s">
        <v>11</v>
      </c>
      <c r="B14" s="11" t="s">
        <v>0</v>
      </c>
      <c r="C14" s="12">
        <f t="shared" si="0"/>
        <v>409.09090909090912</v>
      </c>
      <c r="D14" s="12">
        <v>495</v>
      </c>
      <c r="E14" s="11" t="s">
        <v>1</v>
      </c>
      <c r="F14" s="11"/>
      <c r="G14" s="12">
        <v>388.15</v>
      </c>
    </row>
    <row r="15" spans="1:12">
      <c r="A15" s="10" t="s">
        <v>12</v>
      </c>
      <c r="B15" s="11" t="s">
        <v>0</v>
      </c>
      <c r="C15" s="12">
        <f t="shared" si="0"/>
        <v>446.28099173553721</v>
      </c>
      <c r="D15" s="12">
        <v>540</v>
      </c>
      <c r="E15" s="11" t="s">
        <v>1</v>
      </c>
      <c r="F15" s="11"/>
      <c r="G15" s="12">
        <v>424.8</v>
      </c>
    </row>
    <row r="16" spans="1:12">
      <c r="A16" s="10" t="s">
        <v>13</v>
      </c>
      <c r="B16" s="11" t="s">
        <v>0</v>
      </c>
      <c r="C16" s="12">
        <f t="shared" si="0"/>
        <v>512.39669421487599</v>
      </c>
      <c r="D16" s="12">
        <v>620</v>
      </c>
      <c r="E16" s="11" t="s">
        <v>1</v>
      </c>
      <c r="F16" s="11"/>
      <c r="G16" s="12">
        <v>486.33</v>
      </c>
    </row>
    <row r="17" spans="1:12">
      <c r="A17" s="10" t="s">
        <v>14</v>
      </c>
      <c r="B17" s="11" t="s">
        <v>0</v>
      </c>
      <c r="C17" s="12">
        <f t="shared" si="0"/>
        <v>508.26446280991735</v>
      </c>
      <c r="D17" s="12">
        <v>615</v>
      </c>
      <c r="E17" s="11" t="s">
        <v>1</v>
      </c>
      <c r="F17" s="11"/>
      <c r="G17" s="12">
        <v>483.71</v>
      </c>
    </row>
    <row r="18" spans="1:12">
      <c r="A18" s="10" t="s">
        <v>15</v>
      </c>
      <c r="B18" s="11" t="s">
        <v>0</v>
      </c>
      <c r="C18" s="12">
        <f t="shared" si="0"/>
        <v>574.38016528925618</v>
      </c>
      <c r="D18" s="12">
        <v>695</v>
      </c>
      <c r="E18" s="11" t="s">
        <v>1</v>
      </c>
      <c r="F18" s="11"/>
      <c r="G18" s="12">
        <v>545.25</v>
      </c>
    </row>
    <row r="19" spans="1:12">
      <c r="A19" s="10" t="s">
        <v>16</v>
      </c>
      <c r="B19" s="11" t="s">
        <v>0</v>
      </c>
      <c r="C19" s="12">
        <f t="shared" si="0"/>
        <v>252.06611570247935</v>
      </c>
      <c r="D19" s="12">
        <v>305</v>
      </c>
      <c r="E19" s="11" t="s">
        <v>1</v>
      </c>
      <c r="F19" s="11"/>
      <c r="G19" s="12">
        <v>239.2</v>
      </c>
      <c r="H19" s="6"/>
      <c r="I19" s="7"/>
      <c r="J19" s="5"/>
      <c r="K19" s="5"/>
      <c r="L19" s="7"/>
    </row>
    <row r="20" spans="1:12">
      <c r="A20" s="10" t="s">
        <v>17</v>
      </c>
      <c r="B20" s="11" t="s">
        <v>0</v>
      </c>
      <c r="C20" s="12">
        <f t="shared" si="0"/>
        <v>289.25619834710744</v>
      </c>
      <c r="D20" s="12">
        <v>350</v>
      </c>
      <c r="E20" s="11" t="s">
        <v>1</v>
      </c>
      <c r="F20" s="11"/>
      <c r="G20" s="12">
        <v>272.7</v>
      </c>
    </row>
    <row r="21" spans="1:12">
      <c r="A21" s="10" t="s">
        <v>18</v>
      </c>
      <c r="B21" s="11" t="s">
        <v>0</v>
      </c>
      <c r="C21" s="12">
        <f t="shared" si="0"/>
        <v>334.71074380165288</v>
      </c>
      <c r="D21" s="12">
        <v>405</v>
      </c>
      <c r="E21" s="11" t="s">
        <v>1</v>
      </c>
      <c r="F21" s="11"/>
      <c r="G21" s="12">
        <v>318.5</v>
      </c>
    </row>
    <row r="22" spans="1:12">
      <c r="A22" s="10" t="s">
        <v>19</v>
      </c>
      <c r="B22" s="11" t="s">
        <v>0</v>
      </c>
      <c r="C22" s="12">
        <f t="shared" si="0"/>
        <v>371.90082644628103</v>
      </c>
      <c r="D22" s="12">
        <v>450</v>
      </c>
      <c r="E22" s="11" t="s">
        <v>1</v>
      </c>
      <c r="F22" s="11"/>
      <c r="G22" s="12">
        <v>352.81</v>
      </c>
    </row>
    <row r="23" spans="1:12">
      <c r="A23" s="10" t="s">
        <v>20</v>
      </c>
      <c r="B23" s="11" t="s">
        <v>0</v>
      </c>
      <c r="C23" s="12">
        <f t="shared" si="0"/>
        <v>1264.4628099173553</v>
      </c>
      <c r="D23" s="12">
        <v>1530</v>
      </c>
      <c r="E23" s="11" t="s">
        <v>1</v>
      </c>
      <c r="F23" s="11"/>
      <c r="G23" s="12">
        <v>1203.72</v>
      </c>
    </row>
    <row r="24" spans="1:12">
      <c r="A24" s="10" t="s">
        <v>21</v>
      </c>
      <c r="B24" s="11" t="s">
        <v>0</v>
      </c>
      <c r="C24" s="12">
        <f t="shared" si="0"/>
        <v>991.73553719008271</v>
      </c>
      <c r="D24" s="12">
        <v>1200</v>
      </c>
      <c r="E24" s="11" t="s">
        <v>1</v>
      </c>
      <c r="F24" s="11"/>
      <c r="G24" s="12">
        <v>937.31</v>
      </c>
    </row>
    <row r="25" spans="1:12">
      <c r="A25" s="10" t="s">
        <v>22</v>
      </c>
      <c r="B25" s="11" t="s">
        <v>0</v>
      </c>
      <c r="C25" s="12">
        <f t="shared" si="0"/>
        <v>1322.3140495867769</v>
      </c>
      <c r="D25" s="12">
        <v>1600</v>
      </c>
      <c r="E25" s="11" t="s">
        <v>1</v>
      </c>
      <c r="F25" s="11"/>
      <c r="G25" s="12">
        <v>1258.05</v>
      </c>
    </row>
    <row r="26" spans="1:12">
      <c r="A26" s="10" t="s">
        <v>23</v>
      </c>
      <c r="B26" s="11" t="s">
        <v>0</v>
      </c>
      <c r="C26" s="12">
        <f t="shared" si="0"/>
        <v>1018.1818181818182</v>
      </c>
      <c r="D26" s="12">
        <v>1232</v>
      </c>
      <c r="E26" s="11" t="s">
        <v>1</v>
      </c>
      <c r="F26" s="11"/>
      <c r="G26" s="12">
        <v>968.73</v>
      </c>
    </row>
    <row r="27" spans="1:12">
      <c r="A27" s="10" t="s">
        <v>24</v>
      </c>
      <c r="B27" s="11" t="s">
        <v>0</v>
      </c>
      <c r="C27" s="12">
        <f t="shared" si="0"/>
        <v>735.53719008264466</v>
      </c>
      <c r="D27" s="12">
        <v>890</v>
      </c>
      <c r="E27" s="11" t="s">
        <v>1</v>
      </c>
      <c r="F27" s="11"/>
      <c r="G27" s="12">
        <v>698.4</v>
      </c>
    </row>
    <row r="28" spans="1:12">
      <c r="A28" s="10" t="s">
        <v>25</v>
      </c>
      <c r="B28" s="11" t="s">
        <v>0</v>
      </c>
      <c r="C28" s="12">
        <f t="shared" si="0"/>
        <v>991.73553719008271</v>
      </c>
      <c r="D28" s="12">
        <v>1200</v>
      </c>
      <c r="E28" s="11" t="s">
        <v>1</v>
      </c>
      <c r="F28" s="11"/>
      <c r="G28" s="12">
        <v>937.98</v>
      </c>
    </row>
    <row r="29" spans="1:12">
      <c r="A29" s="10" t="s">
        <v>26</v>
      </c>
      <c r="B29" s="11" t="s">
        <v>0</v>
      </c>
      <c r="C29" s="12">
        <f t="shared" si="0"/>
        <v>264.4628099173554</v>
      </c>
      <c r="D29" s="12">
        <v>320</v>
      </c>
      <c r="E29" s="11" t="s">
        <v>1</v>
      </c>
      <c r="F29" s="11"/>
      <c r="G29" s="12">
        <v>248.73</v>
      </c>
    </row>
    <row r="30" spans="1:12">
      <c r="A30" s="10" t="s">
        <v>27</v>
      </c>
      <c r="B30" s="11" t="s">
        <v>0</v>
      </c>
      <c r="C30" s="12">
        <f t="shared" si="0"/>
        <v>433.88429752066116</v>
      </c>
      <c r="D30" s="12">
        <v>525</v>
      </c>
      <c r="E30" s="11" t="s">
        <v>1</v>
      </c>
      <c r="F30" s="11"/>
      <c r="G30" s="12">
        <v>413.02</v>
      </c>
    </row>
    <row r="31" spans="1:12">
      <c r="A31" s="1" t="s">
        <v>33</v>
      </c>
      <c r="B31" s="2" t="s">
        <v>0</v>
      </c>
      <c r="C31" s="12">
        <f t="shared" si="0"/>
        <v>471.07438016528926</v>
      </c>
      <c r="D31" s="12">
        <v>570</v>
      </c>
      <c r="E31" s="11" t="s">
        <v>1</v>
      </c>
      <c r="F31" s="11"/>
      <c r="G31" s="3">
        <v>448.37</v>
      </c>
    </row>
    <row r="32" spans="1:12">
      <c r="A32" s="8" t="s">
        <v>35</v>
      </c>
      <c r="B32" s="9" t="s">
        <v>0</v>
      </c>
      <c r="C32" s="12">
        <f t="shared" si="0"/>
        <v>388.42975206611573</v>
      </c>
      <c r="D32" s="12">
        <v>470</v>
      </c>
      <c r="E32" s="22" t="s">
        <v>1</v>
      </c>
      <c r="F32" s="22"/>
      <c r="G32" s="4">
        <v>369.16</v>
      </c>
    </row>
    <row r="33" spans="1:7">
      <c r="A33" s="10" t="s">
        <v>36</v>
      </c>
      <c r="B33" s="11" t="s">
        <v>0</v>
      </c>
      <c r="C33" s="12">
        <f t="shared" si="0"/>
        <v>867.76859504132233</v>
      </c>
      <c r="D33" s="12">
        <v>1050</v>
      </c>
      <c r="E33" s="23" t="s">
        <v>1</v>
      </c>
      <c r="F33" s="23"/>
      <c r="G33" s="23">
        <v>817.53</v>
      </c>
    </row>
    <row r="34" spans="1:7">
      <c r="A34" s="1" t="s">
        <v>37</v>
      </c>
      <c r="B34" s="2" t="s">
        <v>0</v>
      </c>
      <c r="C34" s="12">
        <f t="shared" si="0"/>
        <v>268.59504132231405</v>
      </c>
      <c r="D34" s="12">
        <v>325</v>
      </c>
      <c r="E34" s="11" t="s">
        <v>1</v>
      </c>
      <c r="F34" s="11"/>
      <c r="G34" s="3">
        <v>252.56</v>
      </c>
    </row>
    <row r="35" spans="1:7">
      <c r="A35" s="1" t="s">
        <v>38</v>
      </c>
      <c r="B35" s="2" t="s">
        <v>0</v>
      </c>
      <c r="C35" s="12">
        <f t="shared" si="0"/>
        <v>157.02479338842977</v>
      </c>
      <c r="D35" s="12">
        <v>190</v>
      </c>
      <c r="E35" s="11" t="s">
        <v>1</v>
      </c>
      <c r="F35" s="11"/>
      <c r="G35" s="3">
        <v>146.28</v>
      </c>
    </row>
    <row r="36" spans="1:7">
      <c r="A36" s="8" t="s">
        <v>39</v>
      </c>
      <c r="B36" s="9" t="s">
        <v>0</v>
      </c>
      <c r="C36" s="26">
        <f t="shared" si="0"/>
        <v>194.21487603305786</v>
      </c>
      <c r="D36" s="26">
        <v>235</v>
      </c>
      <c r="E36" s="22" t="s">
        <v>1</v>
      </c>
      <c r="F36" s="22"/>
      <c r="G36" s="3">
        <v>183.7</v>
      </c>
    </row>
    <row r="37" spans="1:7">
      <c r="A37" s="10" t="s">
        <v>44</v>
      </c>
      <c r="B37" s="11" t="s">
        <v>0</v>
      </c>
      <c r="C37" s="27">
        <f t="shared" si="0"/>
        <v>735.53719008264466</v>
      </c>
      <c r="D37" s="27">
        <v>890</v>
      </c>
      <c r="E37" s="23" t="s">
        <v>1</v>
      </c>
      <c r="F37" s="23"/>
    </row>
    <row r="38" spans="1:7">
      <c r="A38" s="23"/>
      <c r="B38" s="23"/>
      <c r="C38" s="23"/>
      <c r="D38" s="23"/>
      <c r="E38" s="23"/>
      <c r="F38" s="23"/>
    </row>
    <row r="39" spans="1:7">
      <c r="A39" s="23"/>
      <c r="B39" s="23"/>
      <c r="C39" s="23"/>
      <c r="D39" s="23"/>
      <c r="E39" s="23"/>
      <c r="F39" s="23"/>
    </row>
    <row r="40" spans="1:7">
      <c r="A40" s="23"/>
      <c r="B40" s="23"/>
      <c r="C40" s="23"/>
      <c r="D40" s="23"/>
      <c r="E40" s="23"/>
      <c r="F40" s="23"/>
    </row>
  </sheetData>
  <autoFilter ref="A5"/>
  <dataValidations count="2">
    <dataValidation type="list" allowBlank="1" showInputMessage="1" showErrorMessage="1" sqref="IZ4:IZ5 ACR4:ACR5 AMN4:AMN5 AWJ4:AWJ5 BGF4:BGF5 BQB4:BQB5 BZX4:BZX5 CJT4:CJT5 CTP4:CTP5 DDL4:DDL5 DNH4:DNH5 DXD4:DXD5 EGZ4:EGZ5 EQV4:EQV5 FAR4:FAR5 FKN4:FKN5 FUJ4:FUJ5 GEF4:GEF5 GOB4:GOB5 GXX4:GXX5 HHT4:HHT5 HRP4:HRP5 IBL4:IBL5 ILH4:ILH5 IVD4:IVD5 JEZ4:JEZ5 JOV4:JOV5 JYR4:JYR5 KIN4:KIN5 KSJ4:KSJ5 LCF4:LCF5 LMB4:LMB5 LVX4:LVX5 MFT4:MFT5 MPP4:MPP5 MZL4:MZL5 NJH4:NJH5 NTD4:NTD5 OCZ4:OCZ5 OMV4:OMV5 OWR4:OWR5 PGN4:PGN5 PQJ4:PQJ5 QAF4:QAF5 QKB4:QKB5 QTX4:QTX5 RDT4:RDT5 RNP4:RNP5 RXL4:RXL5 SHH4:SHH5 SRD4:SRD5 TAZ4:TAZ5 TKV4:TKV5 TUR4:TUR5 UEN4:UEN5 UOJ4:UOJ5 UYF4:UYF5 VIB4:VIB5 VRX4:VRX5 WBT4:WBT5 WLP4:WLP5 WVL4:WVL5 WVL8:WVL9 WLP8:WLP9 WBT8:WBT9 VRX8:VRX9 VIB8:VIB9 UYF8:UYF9 UOJ8:UOJ9 UEN8:UEN9 TUR8:TUR9 TKV8:TKV9 TAZ8:TAZ9 SRD8:SRD9 SHH8:SHH9 RXL8:RXL9 RNP8:RNP9 RDT8:RDT9 QTX8:QTX9 QKB8:QKB9 QAF8:QAF9 PQJ8:PQJ9 PGN8:PGN9 OWR8:OWR9 OMV8:OMV9 OCZ8:OCZ9 NTD8:NTD9 NJH8:NJH9 MZL8:MZL9 MPP8:MPP9 MFT8:MFT9 LVX8:LVX9 LMB8:LMB9 LCF8:LCF9 KSJ8:KSJ9 KIN8:KIN9 JYR8:JYR9 JOV8:JOV9 JEZ8:JEZ9 IVD8:IVD9 ILH8:ILH9 IBL8:IBL9 HRP8:HRP9 HHT8:HHT9 GXX8:GXX9 GOB8:GOB9 GEF8:GEF9 FUJ8:FUJ9 FKN8:FKN9 FAR8:FAR9 EQV8:EQV9 EGZ8:EGZ9 DXD8:DXD9 DNH8:DNH9 DDL8:DDL9 CTP8:CTP9 CJT8:CJT9 BZX8:BZX9 BQB8:BQB9 BGF8:BGF9 AWJ8:AWJ9 AMN8:AMN9 ACR8:ACR9 SV8:SV9 IZ8:IZ9 SV4:SV5 L19 K5:K7 L5:L12 E6:F32 E34:F36">
      <formula1>DvListSource2</formula1>
    </dataValidation>
    <dataValidation type="list" allowBlank="1" showInputMessage="1" showErrorMessage="1" sqref="ACN4:ACN5 AMJ4:AMJ5 AWF4:AWF5 BGB4:BGB5 BPX4:BPX5 BZT4:BZT5 CJP4:CJP5 CTL4:CTL5 DDH4:DDH5 DND4:DND5 DWZ4:DWZ5 EGV4:EGV5 EQR4:EQR5 FAN4:FAN5 FKJ4:FKJ5 FUF4:FUF5 GEB4:GEB5 GNX4:GNX5 GXT4:GXT5 HHP4:HHP5 HRL4:HRL5 IBH4:IBH5 ILD4:ILD5 IUZ4:IUZ5 JEV4:JEV5 JOR4:JOR5 JYN4:JYN5 KIJ4:KIJ5 KSF4:KSF5 LCB4:LCB5 LLX4:LLX5 LVT4:LVT5 MFP4:MFP5 MPL4:MPL5 MZH4:MZH5 NJD4:NJD5 NSZ4:NSZ5 OCV4:OCV5 OMR4:OMR5 OWN4:OWN5 PGJ4:PGJ5 PQF4:PQF5 QAB4:QAB5 QJX4:QJX5 QTT4:QTT5 RDP4:RDP5 RNL4:RNL5 RXH4:RXH5 SHD4:SHD5 SQZ4:SQZ5 TAV4:TAV5 TKR4:TKR5 TUN4:TUN5 UEJ4:UEJ5 UOF4:UOF5 UYB4:UYB5 VHX4:VHX5 VRT4:VRT5 WBP4:WBP5 WLL4:WLL5 WVH4:WVH5 IV4:IV5 WVH8:WVH9 WLL8:WLL9 WBP8:WBP9 VRT8:VRT9 VHX8:VHX9 UYB8:UYB9 UOF8:UOF9 UEJ8:UEJ9 TUN8:TUN9 TKR8:TKR9 TAV8:TAV9 SQZ8:SQZ9 SHD8:SHD9 RXH8:RXH9 RNL8:RNL9 RDP8:RDP9 QTT8:QTT9 QJX8:QJX9 QAB8:QAB9 PQF8:PQF9 PGJ8:PGJ9 OWN8:OWN9 OMR8:OMR9 OCV8:OCV9 NSZ8:NSZ9 NJD8:NJD9 MZH8:MZH9 MPL8:MPL9 MFP8:MFP9 LVT8:LVT9 LLX8:LLX9 LCB8:LCB9 KSF8:KSF9 KIJ8:KIJ9 JYN8:JYN9 JOR8:JOR9 JEV8:JEV9 IUZ8:IUZ9 ILD8:ILD9 IBH8:IBH9 HRL8:HRL9 HHP8:HHP9 GXT8:GXT9 GNX8:GNX9 GEB8:GEB9 FUF8:FUF9 FKJ8:FKJ9 FAN8:FAN9 EQR8:EQR9 EGV8:EGV9 DWZ8:DWZ9 DND8:DND9 DDH8:DDH9 CTL8:CTL9 CJP8:CJP9 BZT8:BZT9 BPX8:BPX9 BGB8:BGB9 AWF8:AWF9 AMJ8:AMJ9 ACN8:ACN9 SR8:SR9 IV8:IV9 SR4:SR5 I19 H5:H7 I8:I12 B6:B32 B34:B36">
      <formula1>DvListSource1</formula1>
    </dataValidation>
  </dataValidations>
  <pageMargins left="0.7" right="0.7" top="0.75" bottom="0.75" header="0.3" footer="0.3"/>
  <pageSetup orientation="portrait" horizontalDpi="1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0"/>
  <sheetViews>
    <sheetView topLeftCell="A16" workbookViewId="0">
      <selection activeCell="A37" sqref="A37:E40"/>
    </sheetView>
  </sheetViews>
  <sheetFormatPr defaultRowHeight="15"/>
  <cols>
    <col min="1" max="1" width="34.5703125" customWidth="1"/>
    <col min="2" max="2" width="7.85546875" customWidth="1"/>
    <col min="3" max="3" width="14.7109375" customWidth="1"/>
    <col min="4" max="4" width="14" customWidth="1"/>
    <col min="5" max="5" width="10.140625" customWidth="1"/>
  </cols>
  <sheetData>
    <row r="1" spans="1:6" ht="23.25">
      <c r="A1" s="19" t="s">
        <v>30</v>
      </c>
      <c r="E1" s="24" t="s">
        <v>32</v>
      </c>
      <c r="F1" s="21"/>
    </row>
    <row r="3" spans="1:6" s="20" customFormat="1" ht="18.75">
      <c r="B3" s="20" t="s">
        <v>43</v>
      </c>
      <c r="D3" s="20" t="s">
        <v>42</v>
      </c>
    </row>
    <row r="4" spans="1:6" s="20" customFormat="1" ht="18.75"/>
    <row r="5" spans="1:6" ht="18.75">
      <c r="A5" s="13" t="s">
        <v>2</v>
      </c>
      <c r="B5" s="13" t="s">
        <v>28</v>
      </c>
      <c r="C5" s="13" t="s">
        <v>3</v>
      </c>
      <c r="D5" s="14" t="s">
        <v>29</v>
      </c>
      <c r="E5" s="15" t="s">
        <v>4</v>
      </c>
    </row>
    <row r="6" spans="1:6">
      <c r="A6" s="8"/>
      <c r="B6" s="9"/>
      <c r="C6" s="4"/>
      <c r="D6" s="25" t="s">
        <v>40</v>
      </c>
      <c r="E6" s="11"/>
    </row>
    <row r="7" spans="1:6">
      <c r="A7" s="10" t="s">
        <v>5</v>
      </c>
      <c r="B7" s="11" t="s">
        <v>0</v>
      </c>
      <c r="C7" s="12">
        <f>D7/1.21</f>
        <v>610.99173553719004</v>
      </c>
      <c r="D7" s="12">
        <v>739.3</v>
      </c>
      <c r="E7" s="11" t="s">
        <v>1</v>
      </c>
    </row>
    <row r="8" spans="1:6">
      <c r="A8" s="10" t="s">
        <v>6</v>
      </c>
      <c r="B8" s="11" t="s">
        <v>0</v>
      </c>
      <c r="C8" s="12">
        <v>687.27</v>
      </c>
      <c r="D8" s="12">
        <v>831.59</v>
      </c>
      <c r="E8" s="11" t="s">
        <v>1</v>
      </c>
    </row>
    <row r="9" spans="1:6">
      <c r="A9" s="10" t="s">
        <v>7</v>
      </c>
      <c r="B9" s="11" t="s">
        <v>0</v>
      </c>
      <c r="C9" s="12">
        <f t="shared" ref="C9:C37" si="0">D9/1.21</f>
        <v>760.80991735537191</v>
      </c>
      <c r="D9" s="12">
        <v>920.58</v>
      </c>
      <c r="E9" s="11" t="s">
        <v>1</v>
      </c>
    </row>
    <row r="10" spans="1:6">
      <c r="A10" s="10" t="s">
        <v>8</v>
      </c>
      <c r="B10" s="11" t="s">
        <v>0</v>
      </c>
      <c r="C10" s="12">
        <f t="shared" si="0"/>
        <v>407.85123966942149</v>
      </c>
      <c r="D10" s="12">
        <v>493.5</v>
      </c>
      <c r="E10" s="11" t="s">
        <v>1</v>
      </c>
    </row>
    <row r="11" spans="1:6">
      <c r="A11" s="10" t="s">
        <v>9</v>
      </c>
      <c r="B11" s="11" t="s">
        <v>0</v>
      </c>
      <c r="C11" s="12">
        <f t="shared" si="0"/>
        <v>467.19008264462809</v>
      </c>
      <c r="D11" s="12">
        <v>565.29999999999995</v>
      </c>
      <c r="E11" s="11" t="s">
        <v>1</v>
      </c>
    </row>
    <row r="12" spans="1:6">
      <c r="A12" s="10" t="s">
        <v>34</v>
      </c>
      <c r="B12" s="11" t="s">
        <v>0</v>
      </c>
      <c r="C12" s="12">
        <f t="shared" si="0"/>
        <v>535.12396694214874</v>
      </c>
      <c r="D12" s="12">
        <v>647.5</v>
      </c>
      <c r="E12" s="11" t="s">
        <v>1</v>
      </c>
    </row>
    <row r="13" spans="1:6">
      <c r="A13" s="10" t="s">
        <v>10</v>
      </c>
      <c r="B13" s="11" t="s">
        <v>0</v>
      </c>
      <c r="C13" s="12">
        <f t="shared" si="0"/>
        <v>278.01652892561981</v>
      </c>
      <c r="D13" s="12">
        <v>336.4</v>
      </c>
      <c r="E13" s="11" t="s">
        <v>1</v>
      </c>
    </row>
    <row r="14" spans="1:6">
      <c r="A14" s="10" t="s">
        <v>11</v>
      </c>
      <c r="B14" s="11" t="s">
        <v>0</v>
      </c>
      <c r="C14" s="12">
        <f t="shared" si="0"/>
        <v>376.61157024793391</v>
      </c>
      <c r="D14" s="12">
        <v>455.7</v>
      </c>
      <c r="E14" s="11" t="s">
        <v>1</v>
      </c>
    </row>
    <row r="15" spans="1:6">
      <c r="A15" s="10" t="s">
        <v>12</v>
      </c>
      <c r="B15" s="11" t="s">
        <v>0</v>
      </c>
      <c r="C15" s="12">
        <f t="shared" si="0"/>
        <v>409.29752066115702</v>
      </c>
      <c r="D15" s="12">
        <v>495.25</v>
      </c>
      <c r="E15" s="11" t="s">
        <v>1</v>
      </c>
    </row>
    <row r="16" spans="1:6">
      <c r="A16" s="10" t="s">
        <v>13</v>
      </c>
      <c r="B16" s="11" t="s">
        <v>0</v>
      </c>
      <c r="C16" s="12">
        <f t="shared" si="0"/>
        <v>467.97520661157029</v>
      </c>
      <c r="D16" s="12">
        <v>566.25</v>
      </c>
      <c r="E16" s="11" t="s">
        <v>1</v>
      </c>
    </row>
    <row r="17" spans="1:5">
      <c r="A17" s="10" t="s">
        <v>14</v>
      </c>
      <c r="B17" s="11" t="s">
        <v>0</v>
      </c>
      <c r="C17" s="12">
        <f t="shared" si="0"/>
        <v>478.18181818181819</v>
      </c>
      <c r="D17" s="12">
        <v>578.6</v>
      </c>
      <c r="E17" s="11" t="s">
        <v>1</v>
      </c>
    </row>
    <row r="18" spans="1:5">
      <c r="A18" s="10" t="s">
        <v>15</v>
      </c>
      <c r="B18" s="11" t="s">
        <v>0</v>
      </c>
      <c r="C18" s="12">
        <f t="shared" si="0"/>
        <v>529.3388429752066</v>
      </c>
      <c r="D18" s="12">
        <v>640.5</v>
      </c>
      <c r="E18" s="11" t="s">
        <v>1</v>
      </c>
    </row>
    <row r="19" spans="1:5">
      <c r="A19" s="10" t="s">
        <v>16</v>
      </c>
      <c r="B19" s="11" t="s">
        <v>0</v>
      </c>
      <c r="C19" s="12">
        <f t="shared" si="0"/>
        <v>231.83471074380165</v>
      </c>
      <c r="D19" s="12">
        <v>280.52</v>
      </c>
      <c r="E19" s="11" t="s">
        <v>1</v>
      </c>
    </row>
    <row r="20" spans="1:5">
      <c r="A20" s="10" t="s">
        <v>17</v>
      </c>
      <c r="B20" s="11" t="s">
        <v>0</v>
      </c>
      <c r="C20" s="12">
        <f t="shared" si="0"/>
        <v>254.15702479338842</v>
      </c>
      <c r="D20" s="12">
        <v>307.52999999999997</v>
      </c>
      <c r="E20" s="11" t="s">
        <v>1</v>
      </c>
    </row>
    <row r="21" spans="1:5">
      <c r="A21" s="10" t="s">
        <v>18</v>
      </c>
      <c r="B21" s="11" t="s">
        <v>0</v>
      </c>
      <c r="C21" s="12">
        <f t="shared" si="0"/>
        <v>309.52066115702479</v>
      </c>
      <c r="D21" s="12">
        <v>374.52</v>
      </c>
      <c r="E21" s="11" t="s">
        <v>1</v>
      </c>
    </row>
    <row r="22" spans="1:5">
      <c r="A22" s="10" t="s">
        <v>19</v>
      </c>
      <c r="B22" s="11" t="s">
        <v>0</v>
      </c>
      <c r="C22" s="12">
        <f t="shared" si="0"/>
        <v>340.14049586776861</v>
      </c>
      <c r="D22" s="12">
        <v>411.57</v>
      </c>
      <c r="E22" s="11" t="s">
        <v>1</v>
      </c>
    </row>
    <row r="23" spans="1:5">
      <c r="A23" s="10" t="s">
        <v>20</v>
      </c>
      <c r="B23" s="11" t="s">
        <v>0</v>
      </c>
      <c r="C23" s="12">
        <f t="shared" si="0"/>
        <v>1132.7272727272727</v>
      </c>
      <c r="D23" s="12">
        <v>1370.6</v>
      </c>
      <c r="E23" s="11" t="s">
        <v>1</v>
      </c>
    </row>
    <row r="24" spans="1:5">
      <c r="A24" s="10" t="s">
        <v>21</v>
      </c>
      <c r="B24" s="11" t="s">
        <v>0</v>
      </c>
      <c r="C24" s="12">
        <f t="shared" si="0"/>
        <v>909.66942148760336</v>
      </c>
      <c r="D24" s="12">
        <v>1100.7</v>
      </c>
      <c r="E24" s="11" t="s">
        <v>1</v>
      </c>
    </row>
    <row r="25" spans="1:5">
      <c r="A25" s="10" t="s">
        <v>22</v>
      </c>
      <c r="B25" s="11" t="s">
        <v>0</v>
      </c>
      <c r="C25" s="12">
        <f t="shared" si="0"/>
        <v>1211.2396694214876</v>
      </c>
      <c r="D25" s="12">
        <v>1465.6</v>
      </c>
      <c r="E25" s="11" t="s">
        <v>1</v>
      </c>
    </row>
    <row r="26" spans="1:5">
      <c r="A26" s="10" t="s">
        <v>23</v>
      </c>
      <c r="B26" s="11" t="s">
        <v>0</v>
      </c>
      <c r="C26" s="12">
        <f t="shared" si="0"/>
        <v>934.1322314049587</v>
      </c>
      <c r="D26" s="12">
        <v>1130.3</v>
      </c>
      <c r="E26" s="11" t="s">
        <v>1</v>
      </c>
    </row>
    <row r="27" spans="1:5">
      <c r="A27" s="10" t="s">
        <v>24</v>
      </c>
      <c r="B27" s="11" t="s">
        <v>0</v>
      </c>
      <c r="C27" s="12">
        <f t="shared" si="0"/>
        <v>653.63636363636363</v>
      </c>
      <c r="D27" s="12">
        <v>790.9</v>
      </c>
      <c r="E27" s="11" t="s">
        <v>1</v>
      </c>
    </row>
    <row r="28" spans="1:5">
      <c r="A28" s="10" t="s">
        <v>25</v>
      </c>
      <c r="B28" s="11" t="s">
        <v>0</v>
      </c>
      <c r="C28" s="12">
        <f t="shared" si="0"/>
        <v>902.72727272727275</v>
      </c>
      <c r="D28" s="12">
        <v>1092.3</v>
      </c>
      <c r="E28" s="11" t="s">
        <v>1</v>
      </c>
    </row>
    <row r="29" spans="1:5">
      <c r="A29" s="10" t="s">
        <v>26</v>
      </c>
      <c r="B29" s="11" t="s">
        <v>0</v>
      </c>
      <c r="C29" s="12">
        <f t="shared" si="0"/>
        <v>241.2396694214876</v>
      </c>
      <c r="D29" s="12">
        <v>291.89999999999998</v>
      </c>
      <c r="E29" s="11" t="s">
        <v>1</v>
      </c>
    </row>
    <row r="30" spans="1:5">
      <c r="A30" s="10" t="s">
        <v>27</v>
      </c>
      <c r="B30" s="11" t="s">
        <v>0</v>
      </c>
      <c r="C30" s="12">
        <f t="shared" si="0"/>
        <v>401.07438016528926</v>
      </c>
      <c r="D30" s="12">
        <v>485.3</v>
      </c>
      <c r="E30" s="11" t="s">
        <v>1</v>
      </c>
    </row>
    <row r="31" spans="1:5">
      <c r="A31" s="1" t="s">
        <v>33</v>
      </c>
      <c r="B31" s="2" t="s">
        <v>0</v>
      </c>
      <c r="C31" s="12">
        <f t="shared" si="0"/>
        <v>442.80165289256195</v>
      </c>
      <c r="D31" s="12">
        <v>535.79</v>
      </c>
      <c r="E31" s="11" t="s">
        <v>1</v>
      </c>
    </row>
    <row r="32" spans="1:5">
      <c r="A32" s="1" t="s">
        <v>35</v>
      </c>
      <c r="B32" s="2" t="s">
        <v>0</v>
      </c>
      <c r="C32" s="12">
        <f t="shared" si="0"/>
        <v>358.38842975206609</v>
      </c>
      <c r="D32" s="12">
        <v>433.65</v>
      </c>
      <c r="E32" s="11" t="s">
        <v>1</v>
      </c>
    </row>
    <row r="33" spans="1:5">
      <c r="A33" s="1" t="s">
        <v>36</v>
      </c>
      <c r="B33" s="2" t="s">
        <v>0</v>
      </c>
      <c r="C33" s="12">
        <f t="shared" si="0"/>
        <v>792.36363636363637</v>
      </c>
      <c r="D33" s="12">
        <v>958.76</v>
      </c>
      <c r="E33" s="11" t="s">
        <v>1</v>
      </c>
    </row>
    <row r="34" spans="1:5">
      <c r="A34" s="1" t="s">
        <v>37</v>
      </c>
      <c r="B34" s="2" t="s">
        <v>0</v>
      </c>
      <c r="C34" s="12">
        <f t="shared" si="0"/>
        <v>241.08264462809916</v>
      </c>
      <c r="D34" s="12">
        <v>291.70999999999998</v>
      </c>
      <c r="E34" s="11" t="s">
        <v>1</v>
      </c>
    </row>
    <row r="35" spans="1:5">
      <c r="A35" s="1" t="s">
        <v>38</v>
      </c>
      <c r="B35" s="2" t="s">
        <v>0</v>
      </c>
      <c r="C35" s="12">
        <f t="shared" si="0"/>
        <v>139.25619834710744</v>
      </c>
      <c r="D35" s="12">
        <v>168.5</v>
      </c>
      <c r="E35" s="11" t="s">
        <v>1</v>
      </c>
    </row>
    <row r="36" spans="1:5">
      <c r="A36" s="8" t="s">
        <v>39</v>
      </c>
      <c r="B36" s="9" t="s">
        <v>0</v>
      </c>
      <c r="C36" s="26">
        <f t="shared" si="0"/>
        <v>176.77685950413223</v>
      </c>
      <c r="D36" s="26">
        <v>213.9</v>
      </c>
      <c r="E36" s="22" t="s">
        <v>1</v>
      </c>
    </row>
    <row r="37" spans="1:5">
      <c r="A37" s="10" t="s">
        <v>44</v>
      </c>
      <c r="B37" s="11" t="s">
        <v>0</v>
      </c>
      <c r="C37" s="12">
        <f t="shared" si="0"/>
        <v>706.11570247933889</v>
      </c>
      <c r="D37" s="12">
        <v>854.4</v>
      </c>
      <c r="E37" s="11" t="s">
        <v>1</v>
      </c>
    </row>
    <row r="38" spans="1:5">
      <c r="A38" s="23"/>
      <c r="B38" s="23"/>
      <c r="C38" s="23"/>
      <c r="D38" s="23"/>
      <c r="E38" s="23"/>
    </row>
    <row r="39" spans="1:5">
      <c r="A39" s="23"/>
      <c r="B39" s="23"/>
      <c r="C39" s="23"/>
      <c r="D39" s="23"/>
      <c r="E39" s="23"/>
    </row>
    <row r="40" spans="1:5">
      <c r="A40" s="23"/>
      <c r="B40" s="23"/>
      <c r="C40" s="23"/>
      <c r="D40" s="23"/>
      <c r="E40" s="23"/>
    </row>
  </sheetData>
  <dataValidations count="2">
    <dataValidation type="list" allowBlank="1" showInputMessage="1" showErrorMessage="1" sqref="B6:B36">
      <formula1>DvListSource1</formula1>
    </dataValidation>
    <dataValidation type="list" allowBlank="1" showInputMessage="1" showErrorMessage="1" sqref="E6:E36">
      <formula1>DvListSource2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</vt:lpstr>
      <vt:lpstr>EN-GROSS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Calin</cp:lastModifiedBy>
  <cp:lastPrinted>2025-08-12T12:20:31Z</cp:lastPrinted>
  <dcterms:created xsi:type="dcterms:W3CDTF">2021-05-27T15:02:29Z</dcterms:created>
  <dcterms:modified xsi:type="dcterms:W3CDTF">2026-03-31T10:02:11Z</dcterms:modified>
</cp:coreProperties>
</file>